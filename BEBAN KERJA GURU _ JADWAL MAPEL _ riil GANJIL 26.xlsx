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WAKUR MULAI GENAP 2018\2.16 GANJIL 2026\3. SK _ SK _ GANJIL 2026\1. SK BEBAN KERJA GURU _ GANJIL 2026\"/>
    </mc:Choice>
  </mc:AlternateContent>
  <xr:revisionPtr revIDLastSave="0" documentId="13_ncr:1_{79BA9CDB-F686-4B37-9352-0AAA5DDC3D0A}" xr6:coauthVersionLast="47" xr6:coauthVersionMax="47" xr10:uidLastSave="{00000000-0000-0000-0000-000000000000}"/>
  <bookViews>
    <workbookView xWindow="-108" yWindow="-108" windowWidth="19024" windowHeight="10090" xr2:uid="{096B9B0F-A65D-4B73-952A-7B78AC005E9F}"/>
  </bookViews>
  <sheets>
    <sheet name="LAMP 1 GANJIL 26 rii;" sheetId="2" r:id="rId1"/>
    <sheet name="JADWAL GANJIL 26 riill" sheetId="1" r:id="rId2"/>
  </sheets>
  <definedNames>
    <definedName name="_xlnm.Print_Area" localSheetId="1">'JADWAL GANJIL 26 riill'!$B$2:$AD$151</definedName>
    <definedName name="_xlnm.Print_Area" localSheetId="0">'LAMP 1 GANJIL 26 rii;'!$A$1:$H$217</definedName>
    <definedName name="_xlnm.Print_Titles" localSheetId="0">'LAMP 1 GANJIL 26 rii;'!$12:$15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6" i="2" l="1"/>
  <c r="G201" i="2"/>
  <c r="G197" i="2"/>
  <c r="G192" i="2"/>
  <c r="G187" i="2"/>
  <c r="G181" i="2"/>
  <c r="G175" i="2"/>
  <c r="G168" i="2"/>
  <c r="G159" i="2"/>
  <c r="G154" i="2"/>
  <c r="G149" i="2"/>
  <c r="G132" i="2"/>
  <c r="G127" i="2"/>
  <c r="G123" i="2"/>
  <c r="G119" i="2"/>
  <c r="G115" i="2"/>
  <c r="G110" i="2"/>
  <c r="G104" i="2"/>
  <c r="G99" i="2"/>
  <c r="G95" i="2"/>
  <c r="G92" i="2"/>
  <c r="G86" i="2"/>
  <c r="G73" i="2"/>
  <c r="G67" i="2"/>
  <c r="G63" i="2"/>
  <c r="G58" i="2"/>
  <c r="G54" i="2"/>
  <c r="G49" i="2"/>
  <c r="G45" i="2"/>
  <c r="G41" i="2"/>
  <c r="G33" i="2"/>
  <c r="G30" i="2"/>
  <c r="G26" i="2"/>
  <c r="G23" i="2"/>
  <c r="G20" i="2"/>
  <c r="G18" i="2"/>
</calcChain>
</file>

<file path=xl/sharedStrings.xml><?xml version="1.0" encoding="utf-8"?>
<sst xmlns="http://schemas.openxmlformats.org/spreadsheetml/2006/main" count="768" uniqueCount="448">
  <si>
    <t>JADWAL KEGIATAN BELAJAR MENGAJAR SEMESTER GANJIL 2026</t>
  </si>
  <si>
    <t>SMA NEGERI 1 KOTA BANGUN</t>
  </si>
  <si>
    <t>NO</t>
  </si>
  <si>
    <t>WAKTU</t>
  </si>
  <si>
    <t>JAM KE</t>
  </si>
  <si>
    <t>S E N I N</t>
  </si>
  <si>
    <t>KELAS</t>
  </si>
  <si>
    <t>X</t>
  </si>
  <si>
    <t>XI</t>
  </si>
  <si>
    <t>XII</t>
  </si>
  <si>
    <t>X 1</t>
  </si>
  <si>
    <t>X 2</t>
  </si>
  <si>
    <t>X 3</t>
  </si>
  <si>
    <t>X 4</t>
  </si>
  <si>
    <t>X 5</t>
  </si>
  <si>
    <t>X 6</t>
  </si>
  <si>
    <t>X 7</t>
  </si>
  <si>
    <t>XI 1</t>
  </si>
  <si>
    <t>XI 2</t>
  </si>
  <si>
    <t>XI 3</t>
  </si>
  <si>
    <t>XI 4</t>
  </si>
  <si>
    <t>XI 5</t>
  </si>
  <si>
    <t>XI  6</t>
  </si>
  <si>
    <t>XI 7</t>
  </si>
  <si>
    <t>XI 8</t>
  </si>
  <si>
    <t>XII 1</t>
  </si>
  <si>
    <t>XII 2</t>
  </si>
  <si>
    <t>XII 3</t>
  </si>
  <si>
    <t>XII 4</t>
  </si>
  <si>
    <t>XII 5</t>
  </si>
  <si>
    <t>XII 6</t>
  </si>
  <si>
    <t>XII 7</t>
  </si>
  <si>
    <t>07.00 - 07.15</t>
  </si>
  <si>
    <t>PERSIAPAN UPACARA</t>
  </si>
  <si>
    <t>07.15 - 07.50</t>
  </si>
  <si>
    <t>UPACARA  BENDERA</t>
  </si>
  <si>
    <t>07.50 - 08.25</t>
  </si>
  <si>
    <t>PERTEMUAN PAGI CERIA, GERAKAN MURID BERAMAL, PERSIAPAN PEMBELAJARAN</t>
  </si>
  <si>
    <t>08.25 - 09.00</t>
  </si>
  <si>
    <t>13a</t>
  </si>
  <si>
    <t>6a</t>
  </si>
  <si>
    <t>09.00 - 09.35</t>
  </si>
  <si>
    <t>09.35 - 10.10</t>
  </si>
  <si>
    <t>28a</t>
  </si>
  <si>
    <t>10.10 - 10.30</t>
  </si>
  <si>
    <t>I S T I R A H A T</t>
  </si>
  <si>
    <t>10.30 - 11.05</t>
  </si>
  <si>
    <t>23a</t>
  </si>
  <si>
    <t>11.05 - 11.40</t>
  </si>
  <si>
    <t>35a</t>
  </si>
  <si>
    <t>11.40 - 12.15</t>
  </si>
  <si>
    <t>12.15 - 12.50</t>
  </si>
  <si>
    <t>ISTIRAHAT / SHOLAT DZUHUR</t>
  </si>
  <si>
    <t>12.50 - 13.25</t>
  </si>
  <si>
    <t>13.25 - 14.00</t>
  </si>
  <si>
    <t>14.00 - 14.35</t>
  </si>
  <si>
    <t>14.35 - 15.10</t>
  </si>
  <si>
    <t>15.10 - 15.30</t>
  </si>
  <si>
    <t>KEBERSIHAN KELAS DAN LINGKUNGAN SEKOLAH</t>
  </si>
  <si>
    <t>S E L A S A</t>
  </si>
  <si>
    <t>07.15 - 07.30</t>
  </si>
  <si>
    <t>DOA SEBELUM BELAJAR DAN GIAT LITERASI</t>
  </si>
  <si>
    <t>07.30 - 08.10</t>
  </si>
  <si>
    <t>28b</t>
  </si>
  <si>
    <t>33a</t>
  </si>
  <si>
    <t>08.10 - 08.50</t>
  </si>
  <si>
    <t>08.50 - 09.30</t>
  </si>
  <si>
    <t>29a</t>
  </si>
  <si>
    <t>09.30 - 10.10</t>
  </si>
  <si>
    <t>32a</t>
  </si>
  <si>
    <t>10.30 - 11.10</t>
  </si>
  <si>
    <t>11.10 - 11.50</t>
  </si>
  <si>
    <t>11.50 - 12.30</t>
  </si>
  <si>
    <t>12.30 - 13.10</t>
  </si>
  <si>
    <t>13.10 - 13.50</t>
  </si>
  <si>
    <t>13.50 - 14.30</t>
  </si>
  <si>
    <t>14.30 - 15.10</t>
  </si>
  <si>
    <t>R A B U</t>
  </si>
  <si>
    <t>DOA SEBELUM BELAJAR DAN TERAMPIL NUMERASI</t>
  </si>
  <si>
    <t>KAMIS</t>
  </si>
  <si>
    <t xml:space="preserve">PERSIAPAN SENAM </t>
  </si>
  <si>
    <t>SENAM  KESEGARAN JASMANI ANAK INDONESIA HEBAT</t>
  </si>
  <si>
    <t>PERSIAPAN KOKURIKULER, PENGEMBANGAN DIRI, DAN PERSIAPAN PEMBELAJARAN</t>
  </si>
  <si>
    <t>J U M A T</t>
  </si>
  <si>
    <t>BACA SURAH YASIN DAN DOA SEBELIM BELAJAR</t>
  </si>
  <si>
    <t>07.30 - 08.05</t>
  </si>
  <si>
    <t>08.05 - 08.40</t>
  </si>
  <si>
    <t>08.40 - 09.00</t>
  </si>
  <si>
    <t>10.30 - 11.30</t>
  </si>
  <si>
    <t>KETERANGAN :</t>
  </si>
  <si>
    <t>NAMA GURU</t>
  </si>
  <si>
    <t xml:space="preserve">KODE </t>
  </si>
  <si>
    <t>MATA PELAJARAN</t>
  </si>
  <si>
    <t>JML</t>
  </si>
  <si>
    <t xml:space="preserve">JADWAL KEGIATAN EKSTRAKURIKULER DAN PENGEMBANGAN DIRI </t>
  </si>
  <si>
    <t>RITA. B, S. Pd</t>
  </si>
  <si>
    <t>Matematika Kelas XII</t>
  </si>
  <si>
    <t>NURUL HAJAR, S. Pd</t>
  </si>
  <si>
    <t xml:space="preserve">Bahasa Indonesia Kelas X </t>
  </si>
  <si>
    <t>SELASA</t>
  </si>
  <si>
    <t>RABU</t>
  </si>
  <si>
    <t>ISMIR SUGIANTO, S. Pd</t>
  </si>
  <si>
    <t>Kimia Kelas XII 1, 5, 6, 7</t>
  </si>
  <si>
    <t>MISBAHUL JANNAH, S. Pd</t>
  </si>
  <si>
    <t>Bimbingan Konseling</t>
  </si>
  <si>
    <t>FUTSAL</t>
  </si>
  <si>
    <t>SEPAK BOLA</t>
  </si>
  <si>
    <t>VOLI</t>
  </si>
  <si>
    <t>ABDUL MUNAWIR, S. Pd</t>
  </si>
  <si>
    <t>Pend. Jas OrKes  Kelas XII</t>
  </si>
  <si>
    <t>Seni dan Budaya Kelas XI</t>
  </si>
  <si>
    <t>BULUTANGKIS</t>
  </si>
  <si>
    <t>BASKET</t>
  </si>
  <si>
    <t>VOKASI</t>
  </si>
  <si>
    <t>QOMARUL HAFIDZ AS'ARI, S.E</t>
  </si>
  <si>
    <t>Ekonomi Kelas X  dan  XI 8</t>
  </si>
  <si>
    <t>DIRGA YUANDARI, S. Pd</t>
  </si>
  <si>
    <t xml:space="preserve">Matematika Kelas X </t>
  </si>
  <si>
    <t>PIK REMAJA</t>
  </si>
  <si>
    <t>HIDROPONIK</t>
  </si>
  <si>
    <t>PECINTA LINGKUNGAN</t>
  </si>
  <si>
    <t>TATI MULYANTI, S. Pd</t>
  </si>
  <si>
    <t>Bahasa Indonesia Kelas XII</t>
  </si>
  <si>
    <t>MUHAMMAD KHAIRUNNAS, S. Pd. I</t>
  </si>
  <si>
    <t>Pendidikan Agama Islam Kelas XI</t>
  </si>
  <si>
    <t>TARI</t>
  </si>
  <si>
    <t>GAMBUS</t>
  </si>
  <si>
    <t>SILAT</t>
  </si>
  <si>
    <t>ACHMAD MOEKLIS, S. Pd</t>
  </si>
  <si>
    <t>Bimbingan Konseling Kelas X &amp; XII</t>
  </si>
  <si>
    <t>VINA AGUSTINA, S. Pd</t>
  </si>
  <si>
    <t>Fisika Kelas XI 5, 6, 7, &amp; XII 1, 2, 3</t>
  </si>
  <si>
    <t>PMR -KKR</t>
  </si>
  <si>
    <t>JURNALISTIK</t>
  </si>
  <si>
    <t>PADUAN SUARA</t>
  </si>
  <si>
    <t>Pendidikan Pancasila kelas XI</t>
  </si>
  <si>
    <t>ARI ADNAN RAFI'I, S. Pd</t>
  </si>
  <si>
    <t>Pend. Jas OrKes Kelas XI</t>
  </si>
  <si>
    <t>ROHIS</t>
  </si>
  <si>
    <t>PRAMUKA REGULAR</t>
  </si>
  <si>
    <t>PASKHAS</t>
  </si>
  <si>
    <t>ABDUL WAHAB, S. Pd</t>
  </si>
  <si>
    <t>Matematika Kelas XI</t>
  </si>
  <si>
    <t>SINTA PUJI LESTARI, S. Pd</t>
  </si>
  <si>
    <t>Kimia Kelas XI 1, 6, 8</t>
  </si>
  <si>
    <t>ALOKASI WAKTU : 16.00 - 17.30</t>
  </si>
  <si>
    <t>SURIDAH, S. Ag</t>
  </si>
  <si>
    <t>Pendidikan Agama Islam Kelas XII</t>
  </si>
  <si>
    <t>Biologi Kelas XI 3, 4, 7</t>
  </si>
  <si>
    <t>PEMBINAAN OLIMPIADE DAN PENGEMBANGAN DIRI LAINNYA MENYESUAIKAN (PEMBINA DAN MURID)</t>
  </si>
  <si>
    <t>NENENG QOMARIANA, S.T., S.Pd</t>
  </si>
  <si>
    <t>Fisika Kelas X dan XI 8</t>
  </si>
  <si>
    <t>Informatika Kelas X 4, 5, 6, 7</t>
  </si>
  <si>
    <t>MUHAMMAD WAHYUDI, S. Pd</t>
  </si>
  <si>
    <t xml:space="preserve">Bahasa Indonesia Kelas XI </t>
  </si>
  <si>
    <t>NUR ANNISA, S. Pd</t>
  </si>
  <si>
    <t>Kimia Kelas XI 2, 3, 4</t>
  </si>
  <si>
    <t>SABRANITI. SA, S. Pd</t>
  </si>
  <si>
    <t>Geografi Kelas X  dan XII 1. 3, 6</t>
  </si>
  <si>
    <t>Informatika Kelas X 1, 2, 3</t>
  </si>
  <si>
    <t>MUHAMMAD HELDIANNUR, S. Pd</t>
  </si>
  <si>
    <t>Biologi Kelas X dan XII 2, 4. 7</t>
  </si>
  <si>
    <t>MUHAMMAD BAHTIAR, S. Pd. I</t>
  </si>
  <si>
    <t>Pendidikan Agama Islam Kelas X</t>
  </si>
  <si>
    <t>SUNDARI, S. Pd</t>
  </si>
  <si>
    <t xml:space="preserve">Bahasa Inggris Kelas XII </t>
  </si>
  <si>
    <t>GIANTI ANJARWATI, S. Pd</t>
  </si>
  <si>
    <t>Informatika Kelas XI 4, 5, 7, &amp; XII 2, 4, 5, 7</t>
  </si>
  <si>
    <t>Bahasa Inggris Tingkat Lanjut Kelas XI 1, 3, 7</t>
  </si>
  <si>
    <t>HENY AGUSTINA WIDYANASARI, S. Pd</t>
  </si>
  <si>
    <t>Bahasa Inggris Kelas X</t>
  </si>
  <si>
    <t>ADIWIYOTO, S. Pd</t>
  </si>
  <si>
    <t>Ekonomi Kelas XI 5, 6, &amp; XII 1, 2, 3</t>
  </si>
  <si>
    <t>Bahasa Inggris Tingkat Lanjut Kelas XII 5, 6</t>
  </si>
  <si>
    <t>AHMAD, S. Pd</t>
  </si>
  <si>
    <t xml:space="preserve">Pend. Pancasila  Kelas X dan XII </t>
  </si>
  <si>
    <t>SITI FATIMAH, S. Pd</t>
  </si>
  <si>
    <t>Bahasa Inggris Kelas XI</t>
  </si>
  <si>
    <t>AUDI MORFI, S.E</t>
  </si>
  <si>
    <t>Prakarya &amp; Kewirausahaan Kelas XI &amp;  XII</t>
  </si>
  <si>
    <t xml:space="preserve">Bahasa Inggris Tingkat Lanjut Kelas XII 3, 4 </t>
  </si>
  <si>
    <t>MOH. SYAHRIZAL, S.Pd</t>
  </si>
  <si>
    <t>Sejarah Kelas X dan XI  7, 8</t>
  </si>
  <si>
    <t>FITRIA ADI, S. Pd</t>
  </si>
  <si>
    <t>Sosiologi Kelas X dan XI  2, 3, 8</t>
  </si>
  <si>
    <t>ABD. GANI BAHTIAR, S. Pd</t>
  </si>
  <si>
    <t>Matematika Tingkat Lanjut XI 1,2. XII 4,5,6,7</t>
  </si>
  <si>
    <t>GRACIELLA EUNIKE MANAPA, S. Pd</t>
  </si>
  <si>
    <t>Bahasa Indonesia Kelas XI 7, 8</t>
  </si>
  <si>
    <t>EMELDA MAYRITA, S.  Sn</t>
  </si>
  <si>
    <t>Seni Kelas X dan XII</t>
  </si>
  <si>
    <t>Bahasa Indonesia Tingkat Lanjut Kelas XI 2, 4, 5, 6</t>
  </si>
  <si>
    <t>ISRIYADI, S. Pd</t>
  </si>
  <si>
    <t>Pend. Jas OrKes Kelas  X</t>
  </si>
  <si>
    <t>DAVID GOLDRA BRAMANTYA PAMUNGKAS, S. Pd</t>
  </si>
  <si>
    <t>Sejarah Kelas XI 1, 2, 3, 4, ,5 ,6, &amp; XII</t>
  </si>
  <si>
    <t>RAJUDIAN NUR, S. Pd</t>
  </si>
  <si>
    <t xml:space="preserve">Kimia Kelas X </t>
  </si>
  <si>
    <t>Pengajar Kokurikuler :Pendidikan Lingkungan Hidup"</t>
  </si>
  <si>
    <t>Mengetahui :</t>
  </si>
  <si>
    <t>Kota Bangun, 25 September 2025</t>
  </si>
  <si>
    <t>Kepala Sekolah,</t>
  </si>
  <si>
    <t>WaKa. Kurikulum,</t>
  </si>
  <si>
    <t>Abdul Rahman, S. Pd</t>
  </si>
  <si>
    <t>Rita B., S. Pd.</t>
  </si>
  <si>
    <t>NIP. 197704302000121003</t>
  </si>
  <si>
    <t>NIP. 198203152006042014</t>
  </si>
  <si>
    <t>PEMERINTAH PROVINSI KALIMANTAN TIMUR</t>
  </si>
  <si>
    <t>DINAS PENDIDIKAN DAN KEBUDAYAAN</t>
  </si>
  <si>
    <t>Jalan Sri Bangun RT. 19 Kota Bangun Ulu. Kecamatan Kota Bangun 75561
Telepon. 0811 5814 321</t>
  </si>
  <si>
    <t>Pos-el info@smansa.koba@gmail.com         Laman http://smansakoba.sch.id</t>
  </si>
  <si>
    <t>Lampiran 1 :</t>
  </si>
  <si>
    <t>KEPUTUSAN KEPALA SMA NEGERI 1 KOTA BANGUN</t>
  </si>
  <si>
    <t xml:space="preserve"> Nomor : 400.3.8.1/070/SMAN.1.KB./II/2026, Tanggal 11 Pebruari 2026</t>
  </si>
  <si>
    <t>PEMBAGIAN BEBAN KERJA GURU SEMESTER GANJIL TAHUN PELAJARAN 2026/2027</t>
  </si>
  <si>
    <t>No.</t>
  </si>
  <si>
    <t>Nama Guru / NIP</t>
  </si>
  <si>
    <t>Mata Pelajaran /  Tugas Tambahan</t>
  </si>
  <si>
    <t>Jumlah Rombel</t>
  </si>
  <si>
    <t>Jam /     Minggu</t>
  </si>
  <si>
    <t>Beban  Kerja</t>
  </si>
  <si>
    <t>Keterangan</t>
  </si>
  <si>
    <t>Hardono, S. Pd</t>
  </si>
  <si>
    <t>1. Kepala Sekolah</t>
  </si>
  <si>
    <t>NIP. 197604272010011004</t>
  </si>
  <si>
    <t xml:space="preserve"> Rita B. S.Pd.</t>
  </si>
  <si>
    <t xml:space="preserve">1. Matematika Kelas XII </t>
  </si>
  <si>
    <t xml:space="preserve"> NIP. 198203152006042014</t>
  </si>
  <si>
    <t>2. Waka Kurikulum</t>
  </si>
  <si>
    <t xml:space="preserve"> Ismir Sugianto,S.Pd</t>
  </si>
  <si>
    <t>1. Kimia Kelas XII 1, 5, 6, 7</t>
  </si>
  <si>
    <t xml:space="preserve"> NIP. 197910122003121007</t>
  </si>
  <si>
    <t>2. Waka Kesiswaan</t>
  </si>
  <si>
    <t>3. Koordinator Laboratorium Kimia</t>
  </si>
  <si>
    <t xml:space="preserve"> Abdul Munawir, S.Pd</t>
  </si>
  <si>
    <t>1. Pendiidikan Jasmani, Olahraga, dan Kesehatan Kelas XII</t>
  </si>
  <si>
    <t xml:space="preserve"> NIP. 198510302010011008</t>
  </si>
  <si>
    <t>2. Waka Sarana dan Prasarana</t>
  </si>
  <si>
    <t>3. Bendahara Pengurus Barang</t>
  </si>
  <si>
    <t xml:space="preserve"> Qomarul Hafidz As'ari, S. E.</t>
  </si>
  <si>
    <t>1. Ekonomi Kelas X dan XI 8</t>
  </si>
  <si>
    <t xml:space="preserve"> NIP. 198009282014101003</t>
  </si>
  <si>
    <t>2. Waka Hubungan Masyarakat</t>
  </si>
  <si>
    <t>3. Pembina Ekstrakurikuler Jurnalistik</t>
  </si>
  <si>
    <t>4. Pembina Olimpiade Ekonomi</t>
  </si>
  <si>
    <t xml:space="preserve"> Tati Mulyanti,S.Pd.</t>
  </si>
  <si>
    <t xml:space="preserve">1. Bahasa Indonesia Kelas XII </t>
  </si>
  <si>
    <t xml:space="preserve"> NIP. 196909231995122005</t>
  </si>
  <si>
    <t>2. Koordinator Pembelajaran Berbasisi Projek Kelas X 1</t>
  </si>
  <si>
    <t>3. Piket</t>
  </si>
  <si>
    <t xml:space="preserve"> Achmad Moeklis, S.Pd.</t>
  </si>
  <si>
    <t>1. BP / BK Kelas X dan XII</t>
  </si>
  <si>
    <t xml:space="preserve"> NIP. 198211272006041007</t>
  </si>
  <si>
    <t>2. Pendidikan Pancasila Kelas XI</t>
  </si>
  <si>
    <t>3. Pembina Ekstrakurikuler Silat</t>
  </si>
  <si>
    <t>4. Pembina Ekstrakurikuler Hidroponik</t>
  </si>
  <si>
    <t>5. Fasilitator Pendidikan Lingkungan Hidup</t>
  </si>
  <si>
    <t>6. Piket</t>
  </si>
  <si>
    <t xml:space="preserve"> Pahrijal,S.Pd.</t>
  </si>
  <si>
    <t>Non Induk</t>
  </si>
  <si>
    <t xml:space="preserve"> NIP. 198304162006041012</t>
  </si>
  <si>
    <t xml:space="preserve"> Abdul Wahab, S. Pd</t>
  </si>
  <si>
    <t>1. Matematika Kelas XI</t>
  </si>
  <si>
    <t xml:space="preserve"> NIP. 197910302006041009</t>
  </si>
  <si>
    <t>2. Pembina Ekstrakurikuler Bulutangkis</t>
  </si>
  <si>
    <t>3. Pembina Terampil Numerasi</t>
  </si>
  <si>
    <t>4  Piket</t>
  </si>
  <si>
    <t xml:space="preserve"> Suridah, S. Ag</t>
  </si>
  <si>
    <t xml:space="preserve">1. Pendidikan Agama Islam Kelas XII </t>
  </si>
  <si>
    <t xml:space="preserve"> NIP. 197206052007012041</t>
  </si>
  <si>
    <t>2. Wali Kelas XII 2</t>
  </si>
  <si>
    <t>3. Pembina Esktrakurikuler Rohani Islam (ROHIS) Putri</t>
  </si>
  <si>
    <t>4. Piket</t>
  </si>
  <si>
    <t xml:space="preserve"> Muhammad Wahyudi,S.Pd.</t>
  </si>
  <si>
    <t>1. Bahasa Indonesia Kelas XI 1, 2, 3, 4, ,5, 6</t>
  </si>
  <si>
    <t xml:space="preserve"> NIP. 198103102012211002</t>
  </si>
  <si>
    <t>2. Kepala Perpustakaan</t>
  </si>
  <si>
    <t>3. Pembina Debat Bahasa Indonesia</t>
  </si>
  <si>
    <t>4. Pembina Giat Literasi</t>
  </si>
  <si>
    <t>5. Piket</t>
  </si>
  <si>
    <t xml:space="preserve"> Sabraniti SA,S.Pd.</t>
  </si>
  <si>
    <t>1. Geografi Kelas X dan XII 1, 3, 6</t>
  </si>
  <si>
    <t xml:space="preserve"> NIP. 197907142012121002</t>
  </si>
  <si>
    <t>2. Koordinator Pembelajaran Berbasis Projek Kelas XI 5</t>
  </si>
  <si>
    <t>3. Pembina Olimpiade Geografi</t>
  </si>
  <si>
    <t>Neneng Qomariana, S.T, S. Pd.</t>
  </si>
  <si>
    <t>1. Fisika Kelas X dan XI 8</t>
  </si>
  <si>
    <t>NIP. 198009022008012026</t>
  </si>
  <si>
    <t>2. Wali Kelas X 1</t>
  </si>
  <si>
    <t>3. Koordinator Pembelajaran Berbasis Projek Kelas XI 4</t>
  </si>
  <si>
    <t>4. Pembina Olimpiade Astronomi dan Kebumian</t>
  </si>
  <si>
    <t xml:space="preserve"> Muhammad Heldiannur, S.Pd</t>
  </si>
  <si>
    <t>1. Biologi Kelas X dan XII 2, 4, 7</t>
  </si>
  <si>
    <t>NIP. 198005252014101001</t>
  </si>
  <si>
    <t>2. Koordinator Pembelajaran Berbasis Projek Kelas XII 1</t>
  </si>
  <si>
    <t>3. Koordinator Laboratorium Biologi</t>
  </si>
  <si>
    <t xml:space="preserve"> Sundari, S.Pd</t>
  </si>
  <si>
    <t xml:space="preserve">1. Bahasa Inggris Kelas XII </t>
  </si>
  <si>
    <t xml:space="preserve"> NIP. 198205172014102001</t>
  </si>
  <si>
    <t>2. Bahasa Inggris Tingkat Lanjut Kelas XI 1, 3, 7</t>
  </si>
  <si>
    <t>3. Koordinator Pembelajaran Berbasis Projek Kelas X 2</t>
  </si>
  <si>
    <t>4. Pembina Ekstrakurikuler Paduan Suara</t>
  </si>
  <si>
    <t>5. Pembina Debat Bahasa Inggris</t>
  </si>
  <si>
    <t xml:space="preserve"> Adi Wiyoto, S. Pd</t>
  </si>
  <si>
    <t>1. Ekonomi Kelas XI 1, 5, 6, dan XII 1, 2, 3</t>
  </si>
  <si>
    <t xml:space="preserve"> NIP. 198101252006041008</t>
  </si>
  <si>
    <t>2. Wali Kelas XI 5</t>
  </si>
  <si>
    <t>3. Fasilitator Pendidikan Lingkungan Hidup</t>
  </si>
  <si>
    <t>Paraf Kepala Satuan Pendidikan: …................</t>
  </si>
  <si>
    <t xml:space="preserve"> Ahmad, S.Pd.</t>
  </si>
  <si>
    <t xml:space="preserve">1. Pendidikan Pancasila Kelas X dan XII </t>
  </si>
  <si>
    <t>NIPPPK. 197803212022211002</t>
  </si>
  <si>
    <t>2. Wali Kelas XII 1</t>
  </si>
  <si>
    <t>3. Pembina Empat Pilar</t>
  </si>
  <si>
    <t>4. Pembina Ekstrakurikuler Bola Voli</t>
  </si>
  <si>
    <t>5. Pembina Ekstrakurikuler Pramuka</t>
  </si>
  <si>
    <t xml:space="preserve"> Audi Morfi, SE</t>
  </si>
  <si>
    <t>1. Prakarya dan Kewirausahaan Kelas XI dan XII</t>
  </si>
  <si>
    <t>NIPPPK. 198110032022211006</t>
  </si>
  <si>
    <t>2. Koordinator Pembellajaran Berbasis Projek Kelas XII 2</t>
  </si>
  <si>
    <t xml:space="preserve"> Moh. Syahrizal, S.Pd</t>
  </si>
  <si>
    <t>1. Sejarah Kelas X dan XI 7, 8</t>
  </si>
  <si>
    <t>NIPPPK. 198409112022211009</t>
  </si>
  <si>
    <t>3. Operator Sekolah</t>
  </si>
  <si>
    <t xml:space="preserve">4. Koordinator Laboratorium Komputer </t>
  </si>
  <si>
    <t>Abd. Gani Bahtiar, S. Pd</t>
  </si>
  <si>
    <t>1. Matematika Tingkat Lanjut Kelas XI 1, 2, &amp; XII 4, 5, 6, 7</t>
  </si>
  <si>
    <t>NIPPPK: 199112062022211014</t>
  </si>
  <si>
    <t>2. Wali Kelas XII 7</t>
  </si>
  <si>
    <t>3. Koordinator Pengelolaan Kinerja Guru</t>
  </si>
  <si>
    <t>4. Pembina Olimpiade Matematika</t>
  </si>
  <si>
    <t>Emelda Mayrita, S. Sn</t>
  </si>
  <si>
    <t xml:space="preserve">1. Seni, Budaya, dan Prakarya Kelas X </t>
  </si>
  <si>
    <t>NIPPPK: 199601052022212014</t>
  </si>
  <si>
    <t xml:space="preserve">2. Seni dan Budaya Kelas XII </t>
  </si>
  <si>
    <t>3. Wali Kelas X 6</t>
  </si>
  <si>
    <t>4. Koordinator Pembellajaran Berbasis Projek Kelas XI 7</t>
  </si>
  <si>
    <t xml:space="preserve">5. Pembina Ekstrakurikuler Tari </t>
  </si>
  <si>
    <t>Isriyadi, S. Pd</t>
  </si>
  <si>
    <t>1. Pendidikan Jasmani, Olahraga, dan Kesehatan Kelas X</t>
  </si>
  <si>
    <t>NIPPPK: 198408152022211025</t>
  </si>
  <si>
    <t>2. Wali Kelas X 3</t>
  </si>
  <si>
    <t>3. Koordinator Pembellajaran Berbasis Projek Kelas XI 6</t>
  </si>
  <si>
    <t xml:space="preserve">4. Pembina Ekstrakurikuler Futsal </t>
  </si>
  <si>
    <t>Rajudian Nur, S. Pd</t>
  </si>
  <si>
    <t xml:space="preserve">1. Kimia Kelas X </t>
  </si>
  <si>
    <t>NIPPPK: 198009022022211007</t>
  </si>
  <si>
    <t>2. Wali Kelas X 4</t>
  </si>
  <si>
    <t>3. Koordinator Pembellajaran Berbasis Projek Kelas XI 8</t>
  </si>
  <si>
    <t>Nurul Hajar, S. Pd</t>
  </si>
  <si>
    <t xml:space="preserve">1. Bahasa Indonesia Kelas X </t>
  </si>
  <si>
    <t>NIPPPK: 198606152022212065</t>
  </si>
  <si>
    <t>2. Wali Kelas X 2</t>
  </si>
  <si>
    <t>3. Koordinator Pembelajaran Berbasis Projek Kelas XI 1</t>
  </si>
  <si>
    <t xml:space="preserve"> Muhammad Khairunnas, S. Pd. I</t>
  </si>
  <si>
    <t>1. Pendidikan Agama Islam Kelas XI</t>
  </si>
  <si>
    <t>NIPPPK. 198908292023211007</t>
  </si>
  <si>
    <t>2. Wali Kelas XI 4</t>
  </si>
  <si>
    <t>3. Pembina Esktrakuriuler Rohani Islam (ROHIS) Putra</t>
  </si>
  <si>
    <t>Misbahul Jannah, S. Pd</t>
  </si>
  <si>
    <t xml:space="preserve">1. BP / BK Kelas XI </t>
  </si>
  <si>
    <t>NIPPPK.199109112023212013</t>
  </si>
  <si>
    <t>2. Seni dan Budaya Kelas XI</t>
  </si>
  <si>
    <t>3. Koordinator Pembelajaran Berbasis Projek Kelas X 4</t>
  </si>
  <si>
    <t>4. Pembina Ekstrakurikuler PIK-Remaja</t>
  </si>
  <si>
    <t>Dirga Yuandari, S. Pd</t>
  </si>
  <si>
    <t>1. Matematika Kelas X</t>
  </si>
  <si>
    <t>NIPPPK. 199101232023211003</t>
  </si>
  <si>
    <t>2. Wali Kelas X 7</t>
  </si>
  <si>
    <t>3. Koordinator Pembelajaran Berbasis Projek Kelas XI 3</t>
  </si>
  <si>
    <t>4. Pembina Ekstrakurikuler Basket</t>
  </si>
  <si>
    <t>Vina Agustina, S. Pd</t>
  </si>
  <si>
    <t>1. Fisika Kelas XI 5, 6, 7, dan XII 1, 2, 3</t>
  </si>
  <si>
    <t>NIPPPK. 199008032024212030</t>
  </si>
  <si>
    <t>2. Wali Kelas XII 3</t>
  </si>
  <si>
    <t>3. Koordinator Pembelajaran Berbasis Projek Kelas X 6</t>
  </si>
  <si>
    <t>4. Pembina Olimpiade Fisika dan Water Roket</t>
  </si>
  <si>
    <t xml:space="preserve"> Ari Adnan Rafi'i, S. Pd</t>
  </si>
  <si>
    <t>1. Pendidikan Jasmani, Olahraga, dan Kesehatan Kelas XI</t>
  </si>
  <si>
    <t>NIPPPK. 199007172024211021</t>
  </si>
  <si>
    <t>2. Koordinator Pembelajaran Berbasis Projek Kelas XI 2</t>
  </si>
  <si>
    <t>3. Pembina OSIS</t>
  </si>
  <si>
    <t>4. Pembina Esktrakuriuler Sepak Bola</t>
  </si>
  <si>
    <t>Sinta Puji Lestari, S. Pd</t>
  </si>
  <si>
    <t>1. Kimia Kelas XI 1, 6, 8</t>
  </si>
  <si>
    <t>NIPPPK. 199503172024212028</t>
  </si>
  <si>
    <t>2. Biologi Kelas XI 3, 4, 7</t>
  </si>
  <si>
    <t>3. Informatika Kelas X 4, 5, 6, 7</t>
  </si>
  <si>
    <t>4. Wali Kelas XI 1</t>
  </si>
  <si>
    <t>5. Koordinator Pembelajaran Berbasis Projek Kelas XII 6</t>
  </si>
  <si>
    <t>6. Pembina Olimpiade Biologi</t>
  </si>
  <si>
    <t xml:space="preserve">7. Pembina UKS </t>
  </si>
  <si>
    <t xml:space="preserve">8. Pembina Ekstrakurikuler PMR Putri </t>
  </si>
  <si>
    <t>9. Piket</t>
  </si>
  <si>
    <t>Nur Annisa, S. Pd</t>
  </si>
  <si>
    <t>1. Kimia Kelas XI 2, 3, 4</t>
  </si>
  <si>
    <t>NIPPPK. 199604052024212040</t>
  </si>
  <si>
    <t>2. Informatika Kelas X 1, 2, 3</t>
  </si>
  <si>
    <t>3. Wali Kelas XI 2</t>
  </si>
  <si>
    <t>4. Kepala Laboratorium</t>
  </si>
  <si>
    <t>5. Koordinator Pembelajaran Berbasis Projek Kelas XII 7</t>
  </si>
  <si>
    <t>6. Pembina Olimpiade Kimia</t>
  </si>
  <si>
    <t>7. Piket</t>
  </si>
  <si>
    <t>Muhammad Bahtiar, S. Pd. I</t>
  </si>
  <si>
    <t>1. Pendidikan Agama Islam Kelas X</t>
  </si>
  <si>
    <t>NIPPPK. 199106112024211012</t>
  </si>
  <si>
    <t>2. Wali Kelas X 5</t>
  </si>
  <si>
    <t>3. Pembantu Pengurus Barang</t>
  </si>
  <si>
    <t xml:space="preserve">4. Pembina UKS </t>
  </si>
  <si>
    <t>5. Pembina Ekstrakurikuler PMR Putra</t>
  </si>
  <si>
    <t>Gianti Anjarwati, S. Pd</t>
  </si>
  <si>
    <t>1. Informatika Kelas XI 4, 5, 7, dan XII 2, 4, 5, 7</t>
  </si>
  <si>
    <t>NIPPPK. 199912222024212010</t>
  </si>
  <si>
    <t>2. Wali Kelas XI 7</t>
  </si>
  <si>
    <t>3. Koordinator Pembelajaran Berbasis Projek Kelas XII 3</t>
  </si>
  <si>
    <t>4. Pembina Ekstrakurikuler Paskhass</t>
  </si>
  <si>
    <t>5. Pembina Olimpiade Informatika</t>
  </si>
  <si>
    <t xml:space="preserve"> Heny Agustina Widyanasari, S.Pd</t>
  </si>
  <si>
    <t>1, Bahasa Inggris Kelas X</t>
  </si>
  <si>
    <t>NIPPPK. 198408162025212015</t>
  </si>
  <si>
    <t>2. Bahasa Inggris Tingkat Lanjut Kelas XII 5, 6</t>
  </si>
  <si>
    <t>3. Wali Kelas XII 6</t>
  </si>
  <si>
    <t>4. Koordinator Pembelajaran Berbasis Projek Kelas X 5</t>
  </si>
  <si>
    <t>Siti Fatimah, S. Pd</t>
  </si>
  <si>
    <t>1. Bahasa Inggris Kelas XI</t>
  </si>
  <si>
    <t>NIPPPK. 198907112025212020</t>
  </si>
  <si>
    <t>2. Bahasa Inggris Tingkat Lanjut Kelas XII 3, 4</t>
  </si>
  <si>
    <t>3. Wali Kelas XII 4</t>
  </si>
  <si>
    <t>4. Koordinator Pembelajaran Berbasis Projek Kelas X 7</t>
  </si>
  <si>
    <t>Fitri Adi, S. Pd</t>
  </si>
  <si>
    <t>1. Sosiologi Kelas X dan XI 2, 3 8</t>
  </si>
  <si>
    <t>NIPPPK. 199801292025211032</t>
  </si>
  <si>
    <t>2. Wali Kelas XI 8</t>
  </si>
  <si>
    <t>3. Koordinator Pembelajaran Berbasis Projek Kelas XII 4</t>
  </si>
  <si>
    <t>Graciella Eunike Manapa, S. Pd</t>
  </si>
  <si>
    <t>1. Bahasa Indonesia Kelas XI 7, 8</t>
  </si>
  <si>
    <t>NIPPPK. 200206222025212008</t>
  </si>
  <si>
    <t>2. Bahasa Indonesia Tingkat Lanjut Kelas XI 2, 4, 5, 6</t>
  </si>
  <si>
    <t>3. Wali Kelas XI 6</t>
  </si>
  <si>
    <t>4. Koordinator Pembelajaran Berbasis Projek Kelas XII 5</t>
  </si>
  <si>
    <t>David Golddra Pamungkas Bramantya, S. Pd</t>
  </si>
  <si>
    <t>1. Sejarah Kelas XI 1, 2, 3, 4, 5, 6, dan XII</t>
  </si>
  <si>
    <t>NIPPPK. 200007292025211024</t>
  </si>
  <si>
    <t>2. Wali Kelas XII 5</t>
  </si>
  <si>
    <t>3. Koordinator Pembelajaran Berbasis Projek Kelas X 3</t>
  </si>
  <si>
    <t>Kota Bangun, 17 Juli 2026</t>
  </si>
  <si>
    <t>Kepala SMA Negeri 1 Kota Bangun,</t>
  </si>
  <si>
    <t>Hardono, S. 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</si>
</sst>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3"/>
      <color rgb="FF002060"/>
      <name val="Ink Free"/>
      <family val="4"/>
    </font>
    <font>
      <b/>
      <sz val="23"/>
      <color rgb="FF002060"/>
      <name val="Lucida Sans Typewriter"/>
      <family val="3"/>
    </font>
    <font>
      <b/>
      <sz val="25"/>
      <name val="Courier New"/>
      <family val="3"/>
    </font>
    <font>
      <b/>
      <sz val="20"/>
      <name val="Arial"/>
      <family val="2"/>
    </font>
    <font>
      <b/>
      <sz val="26"/>
      <color rgb="FF002060"/>
      <name val="Ink Free"/>
      <family val="4"/>
    </font>
    <font>
      <b/>
      <sz val="26"/>
      <color rgb="FF002060"/>
      <name val="Lucida Sans Typewriter"/>
      <family val="3"/>
    </font>
    <font>
      <b/>
      <sz val="26"/>
      <color theme="1" tint="0.14999847407452621"/>
      <name val="Arial Rounded MT Bold"/>
      <family val="2"/>
    </font>
    <font>
      <b/>
      <sz val="26"/>
      <color theme="1" tint="0.14999847407452621"/>
      <name val="Bodoni MT Black"/>
      <family val="1"/>
    </font>
    <font>
      <b/>
      <sz val="10"/>
      <name val="Arial"/>
      <family val="2"/>
    </font>
    <font>
      <b/>
      <sz val="10"/>
      <name val="Arial Black"/>
      <family val="2"/>
    </font>
    <font>
      <b/>
      <sz val="10"/>
      <name val="Baskerville Old Face"/>
      <family val="1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10"/>
      <color theme="0"/>
      <name val="Arial Black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i/>
      <sz val="10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10"/>
      <name val="Ink Free"/>
      <family val="4"/>
    </font>
    <font>
      <sz val="10"/>
      <color theme="1"/>
      <name val="Ink Free"/>
      <family val="4"/>
    </font>
    <font>
      <b/>
      <u/>
      <sz val="10"/>
      <name val="Arial"/>
      <family val="2"/>
    </font>
    <font>
      <sz val="10"/>
      <name val="Ink Free"/>
      <family val="4"/>
    </font>
    <font>
      <b/>
      <u/>
      <sz val="10"/>
      <name val="Ink Free"/>
      <family val="4"/>
    </font>
    <font>
      <sz val="9"/>
      <name val="Arial Narrow"/>
      <family val="2"/>
    </font>
    <font>
      <b/>
      <sz val="14"/>
      <name val="Arial"/>
      <family val="2"/>
    </font>
    <font>
      <sz val="16"/>
      <name val="Arial Black"/>
      <family val="2"/>
    </font>
    <font>
      <sz val="12"/>
      <name val="Calibri 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2"/>
      <name val="Arial"/>
      <family val="2"/>
    </font>
    <font>
      <b/>
      <sz val="15"/>
      <name val="Times New Roman"/>
      <family val="1"/>
    </font>
    <font>
      <i/>
      <sz val="11"/>
      <name val="Times New Roman"/>
      <family val="1"/>
    </font>
    <font>
      <i/>
      <sz val="12"/>
      <name val="Arial"/>
      <family val="2"/>
    </font>
    <font>
      <b/>
      <sz val="13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i/>
      <sz val="13"/>
      <name val="Times New Roman"/>
      <family val="1"/>
    </font>
    <font>
      <b/>
      <u/>
      <sz val="13"/>
      <name val="Times New Roman"/>
      <family val="1"/>
    </font>
    <font>
      <b/>
      <u/>
      <sz val="12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8BE8ED"/>
        <bgColor indexed="64"/>
      </patternFill>
    </fill>
    <fill>
      <patternFill patternType="solid">
        <fgColor rgb="FF1CE4B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B9FA5"/>
        <bgColor indexed="64"/>
      </patternFill>
    </fill>
    <fill>
      <patternFill patternType="solid">
        <fgColor rgb="FFF4D8DB"/>
        <bgColor indexed="64"/>
      </patternFill>
    </fill>
    <fill>
      <patternFill patternType="solid">
        <fgColor rgb="FFEBA093"/>
        <bgColor indexed="64"/>
      </patternFill>
    </fill>
    <fill>
      <patternFill patternType="solid">
        <fgColor rgb="FF8EB070"/>
        <bgColor indexed="64"/>
      </patternFill>
    </fill>
    <fill>
      <patternFill patternType="solid">
        <fgColor rgb="FFDBA783"/>
        <bgColor indexed="64"/>
      </patternFill>
    </fill>
    <fill>
      <patternFill patternType="solid">
        <fgColor rgb="FFE2E896"/>
        <bgColor indexed="64"/>
      </patternFill>
    </fill>
    <fill>
      <patternFill patternType="solid">
        <fgColor rgb="FF41BDDF"/>
        <bgColor indexed="64"/>
      </patternFill>
    </fill>
    <fill>
      <patternFill patternType="solid">
        <fgColor rgb="FF7F8D73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DB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3DC3C3"/>
        <bgColor indexed="64"/>
      </patternFill>
    </fill>
    <fill>
      <patternFill patternType="solid">
        <fgColor rgb="FF84DFF4"/>
        <bgColor indexed="64"/>
      </patternFill>
    </fill>
    <fill>
      <patternFill patternType="solid">
        <fgColor rgb="FFDBF1F1"/>
        <bgColor indexed="64"/>
      </patternFill>
    </fill>
    <fill>
      <patternFill patternType="solid">
        <fgColor rgb="FFA1E1DF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615">
    <xf numFmtId="0" fontId="0" fillId="0" borderId="0" xfId="0"/>
    <xf numFmtId="0" fontId="2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1" fillId="0" borderId="0" xfId="1"/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11" fillId="0" borderId="4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2" fillId="0" borderId="4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0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7" fillId="0" borderId="4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0" fillId="7" borderId="9" xfId="1" applyFont="1" applyFill="1" applyBorder="1" applyAlignment="1">
      <alignment horizontal="center" vertical="center"/>
    </xf>
    <xf numFmtId="0" fontId="20" fillId="0" borderId="4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18" fillId="0" borderId="32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18" fillId="0" borderId="35" xfId="1" applyFont="1" applyBorder="1" applyAlignment="1">
      <alignment horizontal="center" vertical="center"/>
    </xf>
    <xf numFmtId="0" fontId="18" fillId="0" borderId="36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21" fillId="8" borderId="39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18" fillId="0" borderId="48" xfId="1" applyFont="1" applyBorder="1" applyAlignment="1">
      <alignment horizontal="center" vertical="center"/>
    </xf>
    <xf numFmtId="0" fontId="18" fillId="0" borderId="49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50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0" fillId="13" borderId="17" xfId="1" applyFont="1" applyFill="1" applyBorder="1" applyAlignment="1">
      <alignment horizontal="center" vertical="center"/>
    </xf>
    <xf numFmtId="0" fontId="10" fillId="0" borderId="53" xfId="1" applyFont="1" applyBorder="1" applyAlignment="1">
      <alignment horizontal="center" vertical="center"/>
    </xf>
    <xf numFmtId="0" fontId="10" fillId="0" borderId="0" xfId="1" applyFont="1" applyAlignment="1">
      <alignment horizontal="right" vertical="center"/>
    </xf>
    <xf numFmtId="0" fontId="19" fillId="0" borderId="0" xfId="1" applyFont="1" applyAlignment="1">
      <alignment horizontal="center" vertical="center"/>
    </xf>
    <xf numFmtId="0" fontId="10" fillId="16" borderId="17" xfId="1" applyFont="1" applyFill="1" applyBorder="1" applyAlignment="1">
      <alignment horizontal="center" vertical="center"/>
    </xf>
    <xf numFmtId="0" fontId="18" fillId="0" borderId="56" xfId="1" applyFont="1" applyBorder="1" applyAlignment="1">
      <alignment horizontal="center" vertical="center"/>
    </xf>
    <xf numFmtId="0" fontId="18" fillId="0" borderId="54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25" fillId="0" borderId="0" xfId="1" applyFont="1"/>
    <xf numFmtId="0" fontId="26" fillId="0" borderId="0" xfId="1" applyFont="1"/>
    <xf numFmtId="0" fontId="10" fillId="21" borderId="17" xfId="1" applyFont="1" applyFill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0" fillId="22" borderId="24" xfId="1" applyFont="1" applyFill="1" applyBorder="1" applyAlignment="1">
      <alignment vertical="center"/>
    </xf>
    <xf numFmtId="0" fontId="10" fillId="23" borderId="25" xfId="1" applyFont="1" applyFill="1" applyBorder="1" applyAlignment="1">
      <alignment vertical="center"/>
    </xf>
    <xf numFmtId="0" fontId="10" fillId="24" borderId="25" xfId="1" applyFont="1" applyFill="1" applyBorder="1" applyAlignment="1">
      <alignment vertical="center"/>
    </xf>
    <xf numFmtId="0" fontId="10" fillId="25" borderId="25" xfId="1" applyFont="1" applyFill="1" applyBorder="1" applyAlignment="1">
      <alignment vertical="center"/>
    </xf>
    <xf numFmtId="0" fontId="10" fillId="26" borderId="25" xfId="1" applyFont="1" applyFill="1" applyBorder="1" applyAlignment="1">
      <alignment vertical="center"/>
    </xf>
    <xf numFmtId="0" fontId="10" fillId="27" borderId="25" xfId="1" applyFont="1" applyFill="1" applyBorder="1" applyAlignment="1">
      <alignment vertical="center"/>
    </xf>
    <xf numFmtId="0" fontId="10" fillId="28" borderId="27" xfId="1" applyFont="1" applyFill="1" applyBorder="1" applyAlignment="1">
      <alignment vertical="center"/>
    </xf>
    <xf numFmtId="0" fontId="10" fillId="7" borderId="24" xfId="1" applyFont="1" applyFill="1" applyBorder="1" applyAlignment="1">
      <alignment vertical="center"/>
    </xf>
    <xf numFmtId="0" fontId="10" fillId="29" borderId="25" xfId="1" applyFont="1" applyFill="1" applyBorder="1" applyAlignment="1">
      <alignment vertical="center"/>
    </xf>
    <xf numFmtId="0" fontId="10" fillId="30" borderId="25" xfId="1" applyFont="1" applyFill="1" applyBorder="1" applyAlignment="1">
      <alignment vertical="center"/>
    </xf>
    <xf numFmtId="0" fontId="10" fillId="31" borderId="25" xfId="1" applyFont="1" applyFill="1" applyBorder="1" applyAlignment="1">
      <alignment vertical="center"/>
    </xf>
    <xf numFmtId="0" fontId="10" fillId="32" borderId="25" xfId="1" applyFont="1" applyFill="1" applyBorder="1" applyAlignment="1">
      <alignment vertical="center"/>
    </xf>
    <xf numFmtId="0" fontId="10" fillId="33" borderId="25" xfId="1" applyFont="1" applyFill="1" applyBorder="1" applyAlignment="1">
      <alignment vertical="center"/>
    </xf>
    <xf numFmtId="0" fontId="10" fillId="34" borderId="25" xfId="1" applyFont="1" applyFill="1" applyBorder="1" applyAlignment="1">
      <alignment vertical="center"/>
    </xf>
    <xf numFmtId="0" fontId="10" fillId="35" borderId="28" xfId="1" applyFont="1" applyFill="1" applyBorder="1" applyAlignment="1">
      <alignment vertical="center"/>
    </xf>
    <xf numFmtId="0" fontId="10" fillId="36" borderId="26" xfId="1" applyFont="1" applyFill="1" applyBorder="1" applyAlignment="1">
      <alignment vertical="center"/>
    </xf>
    <xf numFmtId="0" fontId="10" fillId="37" borderId="25" xfId="1" applyFont="1" applyFill="1" applyBorder="1" applyAlignment="1">
      <alignment vertical="center"/>
    </xf>
    <xf numFmtId="0" fontId="10" fillId="38" borderId="25" xfId="1" applyFont="1" applyFill="1" applyBorder="1" applyAlignment="1">
      <alignment vertical="center"/>
    </xf>
    <xf numFmtId="0" fontId="10" fillId="39" borderId="25" xfId="1" applyFont="1" applyFill="1" applyBorder="1" applyAlignment="1">
      <alignment vertical="center"/>
    </xf>
    <xf numFmtId="0" fontId="10" fillId="40" borderId="25" xfId="1" applyFont="1" applyFill="1" applyBorder="1" applyAlignment="1">
      <alignment vertical="center"/>
    </xf>
    <xf numFmtId="0" fontId="10" fillId="41" borderId="25" xfId="1" applyFont="1" applyFill="1" applyBorder="1" applyAlignment="1">
      <alignment vertical="center"/>
    </xf>
    <xf numFmtId="0" fontId="10" fillId="42" borderId="28" xfId="1" applyFont="1" applyFill="1" applyBorder="1" applyAlignment="1">
      <alignment vertical="center"/>
    </xf>
    <xf numFmtId="0" fontId="20" fillId="22" borderId="13" xfId="1" applyFont="1" applyFill="1" applyBorder="1" applyAlignment="1">
      <alignment vertical="center"/>
    </xf>
    <xf numFmtId="0" fontId="20" fillId="23" borderId="14" xfId="1" applyFont="1" applyFill="1" applyBorder="1" applyAlignment="1">
      <alignment vertical="center"/>
    </xf>
    <xf numFmtId="0" fontId="20" fillId="24" borderId="14" xfId="1" applyFont="1" applyFill="1" applyBorder="1" applyAlignment="1">
      <alignment vertical="center"/>
    </xf>
    <xf numFmtId="0" fontId="20" fillId="25" borderId="14" xfId="1" applyFont="1" applyFill="1" applyBorder="1" applyAlignment="1">
      <alignment vertical="center"/>
    </xf>
    <xf numFmtId="0" fontId="20" fillId="26" borderId="14" xfId="1" applyFont="1" applyFill="1" applyBorder="1" applyAlignment="1">
      <alignment vertical="center"/>
    </xf>
    <xf numFmtId="0" fontId="20" fillId="27" borderId="14" xfId="1" applyFont="1" applyFill="1" applyBorder="1" applyAlignment="1">
      <alignment vertical="center"/>
    </xf>
    <xf numFmtId="0" fontId="20" fillId="28" borderId="15" xfId="1" applyFont="1" applyFill="1" applyBorder="1" applyAlignment="1">
      <alignment vertical="center"/>
    </xf>
    <xf numFmtId="0" fontId="20" fillId="7" borderId="13" xfId="1" applyFont="1" applyFill="1" applyBorder="1" applyAlignment="1">
      <alignment vertical="center"/>
    </xf>
    <xf numFmtId="0" fontId="20" fillId="29" borderId="14" xfId="1" applyFont="1" applyFill="1" applyBorder="1" applyAlignment="1">
      <alignment vertical="center"/>
    </xf>
    <xf numFmtId="0" fontId="20" fillId="30" borderId="14" xfId="1" applyFont="1" applyFill="1" applyBorder="1" applyAlignment="1">
      <alignment vertical="center"/>
    </xf>
    <xf numFmtId="0" fontId="20" fillId="31" borderId="14" xfId="1" applyFont="1" applyFill="1" applyBorder="1" applyAlignment="1">
      <alignment vertical="center"/>
    </xf>
    <xf numFmtId="0" fontId="20" fillId="32" borderId="14" xfId="1" applyFont="1" applyFill="1" applyBorder="1" applyAlignment="1">
      <alignment vertical="center"/>
    </xf>
    <xf numFmtId="0" fontId="20" fillId="33" borderId="14" xfId="1" applyFont="1" applyFill="1" applyBorder="1" applyAlignment="1">
      <alignment vertical="center"/>
    </xf>
    <xf numFmtId="0" fontId="20" fillId="34" borderId="14" xfId="1" applyFont="1" applyFill="1" applyBorder="1" applyAlignment="1">
      <alignment vertical="center"/>
    </xf>
    <xf numFmtId="0" fontId="20" fillId="35" borderId="16" xfId="1" applyFont="1" applyFill="1" applyBorder="1" applyAlignment="1">
      <alignment vertical="center"/>
    </xf>
    <xf numFmtId="0" fontId="20" fillId="36" borderId="54" xfId="1" applyFont="1" applyFill="1" applyBorder="1" applyAlignment="1">
      <alignment vertical="center"/>
    </xf>
    <xf numFmtId="0" fontId="20" fillId="37" borderId="14" xfId="1" applyFont="1" applyFill="1" applyBorder="1" applyAlignment="1">
      <alignment vertical="center"/>
    </xf>
    <xf numFmtId="0" fontId="20" fillId="38" borderId="14" xfId="1" applyFont="1" applyFill="1" applyBorder="1" applyAlignment="1">
      <alignment vertical="center"/>
    </xf>
    <xf numFmtId="0" fontId="20" fillId="39" borderId="14" xfId="1" applyFont="1" applyFill="1" applyBorder="1" applyAlignment="1">
      <alignment vertical="center"/>
    </xf>
    <xf numFmtId="0" fontId="20" fillId="40" borderId="14" xfId="1" applyFont="1" applyFill="1" applyBorder="1" applyAlignment="1">
      <alignment vertical="center"/>
    </xf>
    <xf numFmtId="0" fontId="20" fillId="41" borderId="14" xfId="1" applyFont="1" applyFill="1" applyBorder="1" applyAlignment="1">
      <alignment vertical="center"/>
    </xf>
    <xf numFmtId="0" fontId="20" fillId="42" borderId="16" xfId="1" applyFont="1" applyFill="1" applyBorder="1" applyAlignment="1">
      <alignment vertical="center"/>
    </xf>
    <xf numFmtId="0" fontId="10" fillId="0" borderId="0" xfId="1" applyFont="1"/>
    <xf numFmtId="0" fontId="27" fillId="0" borderId="57" xfId="1" applyFont="1" applyBorder="1" applyAlignment="1">
      <alignment horizontal="center" vertical="center"/>
    </xf>
    <xf numFmtId="0" fontId="27" fillId="43" borderId="58" xfId="1" applyFont="1" applyFill="1" applyBorder="1" applyAlignment="1">
      <alignment horizontal="center" vertical="center"/>
    </xf>
    <xf numFmtId="0" fontId="27" fillId="43" borderId="59" xfId="1" applyFont="1" applyFill="1" applyBorder="1" applyAlignment="1">
      <alignment horizontal="center" vertical="center"/>
    </xf>
    <xf numFmtId="0" fontId="28" fillId="43" borderId="59" xfId="1" applyFont="1" applyFill="1" applyBorder="1" applyAlignment="1">
      <alignment horizontal="center" vertical="center"/>
    </xf>
    <xf numFmtId="0" fontId="27" fillId="4" borderId="58" xfId="1" applyFont="1" applyFill="1" applyBorder="1" applyAlignment="1">
      <alignment horizontal="center" vertical="center"/>
    </xf>
    <xf numFmtId="0" fontId="29" fillId="4" borderId="61" xfId="1" applyFont="1" applyFill="1" applyBorder="1" applyAlignment="1">
      <alignment horizontal="center" vertical="center"/>
    </xf>
    <xf numFmtId="0" fontId="27" fillId="4" borderId="62" xfId="1" applyFont="1" applyFill="1" applyBorder="1" applyAlignment="1">
      <alignment horizontal="center" vertical="center"/>
    </xf>
    <xf numFmtId="0" fontId="27" fillId="0" borderId="4" xfId="1" applyFont="1" applyBorder="1" applyAlignment="1">
      <alignment vertical="center"/>
    </xf>
    <xf numFmtId="0" fontId="27" fillId="0" borderId="0" xfId="1" applyFont="1" applyAlignment="1">
      <alignment horizontal="center" vertical="center"/>
    </xf>
    <xf numFmtId="0" fontId="30" fillId="0" borderId="63" xfId="1" applyFont="1" applyBorder="1" applyAlignment="1">
      <alignment horizontal="center" vertical="center"/>
    </xf>
    <xf numFmtId="0" fontId="25" fillId="44" borderId="0" xfId="1" applyFont="1" applyFill="1" applyAlignment="1">
      <alignment wrapText="1"/>
    </xf>
    <xf numFmtId="0" fontId="10" fillId="45" borderId="42" xfId="1" applyFont="1" applyFill="1" applyBorder="1" applyAlignment="1">
      <alignment vertical="center"/>
    </xf>
    <xf numFmtId="0" fontId="10" fillId="45" borderId="64" xfId="1" applyFont="1" applyFill="1" applyBorder="1" applyAlignment="1">
      <alignment vertical="center"/>
    </xf>
    <xf numFmtId="0" fontId="30" fillId="0" borderId="57" xfId="1" applyFont="1" applyBorder="1" applyAlignment="1">
      <alignment horizontal="center" vertical="center"/>
    </xf>
    <xf numFmtId="0" fontId="30" fillId="0" borderId="65" xfId="1" applyFont="1" applyBorder="1" applyAlignment="1">
      <alignment horizontal="center" vertical="center"/>
    </xf>
    <xf numFmtId="0" fontId="30" fillId="0" borderId="27" xfId="1" applyFont="1" applyBorder="1" applyAlignment="1">
      <alignment horizontal="left" vertical="center" indent="1"/>
    </xf>
    <xf numFmtId="0" fontId="31" fillId="0" borderId="36" xfId="1" applyFont="1" applyBorder="1" applyAlignment="1">
      <alignment vertical="center"/>
    </xf>
    <xf numFmtId="0" fontId="30" fillId="0" borderId="10" xfId="1" applyFont="1" applyBorder="1" applyAlignment="1">
      <alignment horizontal="center" vertical="center"/>
    </xf>
    <xf numFmtId="0" fontId="30" fillId="0" borderId="26" xfId="1" applyFont="1" applyBorder="1" applyAlignment="1">
      <alignment horizontal="center" vertical="center"/>
    </xf>
    <xf numFmtId="0" fontId="30" fillId="0" borderId="27" xfId="1" applyFont="1" applyBorder="1" applyAlignment="1">
      <alignment horizontal="center" vertical="center"/>
    </xf>
    <xf numFmtId="0" fontId="30" fillId="0" borderId="10" xfId="1" applyFont="1" applyBorder="1" applyAlignment="1">
      <alignment vertical="center"/>
    </xf>
    <xf numFmtId="0" fontId="30" fillId="0" borderId="49" xfId="1" applyFont="1" applyBorder="1" applyAlignment="1">
      <alignment horizontal="center" vertical="center"/>
    </xf>
    <xf numFmtId="0" fontId="30" fillId="0" borderId="11" xfId="1" applyFont="1" applyBorder="1" applyAlignment="1">
      <alignment horizontal="center" vertical="center"/>
    </xf>
    <xf numFmtId="0" fontId="30" fillId="0" borderId="24" xfId="1" applyFont="1" applyBorder="1" applyAlignment="1">
      <alignment horizontal="center" vertical="top"/>
    </xf>
    <xf numFmtId="0" fontId="30" fillId="0" borderId="66" xfId="1" applyFont="1" applyBorder="1" applyAlignment="1">
      <alignment horizontal="left" vertical="top" indent="1"/>
    </xf>
    <xf numFmtId="0" fontId="32" fillId="0" borderId="36" xfId="1" applyFont="1" applyBorder="1" applyAlignment="1">
      <alignment horizontal="center" vertical="center"/>
    </xf>
    <xf numFmtId="0" fontId="1" fillId="0" borderId="36" xfId="1" applyBorder="1" applyAlignment="1">
      <alignment vertical="center"/>
    </xf>
    <xf numFmtId="0" fontId="1" fillId="0" borderId="56" xfId="1" applyBorder="1" applyAlignment="1">
      <alignment vertical="center"/>
    </xf>
    <xf numFmtId="0" fontId="30" fillId="0" borderId="66" xfId="1" applyFont="1" applyBorder="1" applyAlignment="1">
      <alignment horizontal="center" vertical="center"/>
    </xf>
    <xf numFmtId="0" fontId="30" fillId="0" borderId="0" xfId="1" applyFont="1" applyAlignment="1">
      <alignment vertical="center"/>
    </xf>
    <xf numFmtId="0" fontId="1" fillId="0" borderId="22" xfId="1" applyBorder="1"/>
    <xf numFmtId="0" fontId="1" fillId="0" borderId="10" xfId="1" applyBorder="1"/>
    <xf numFmtId="0" fontId="31" fillId="0" borderId="26" xfId="1" applyFont="1" applyBorder="1" applyAlignment="1">
      <alignment vertical="center"/>
    </xf>
    <xf numFmtId="0" fontId="30" fillId="0" borderId="28" xfId="1" applyFont="1" applyBorder="1" applyAlignment="1">
      <alignment horizontal="center" vertical="center"/>
    </xf>
    <xf numFmtId="0" fontId="31" fillId="0" borderId="4" xfId="1" applyFont="1" applyBorder="1" applyAlignment="1">
      <alignment vertical="center"/>
    </xf>
    <xf numFmtId="0" fontId="30" fillId="0" borderId="0" xfId="1" applyFont="1" applyAlignment="1">
      <alignment horizontal="center" vertical="center"/>
    </xf>
    <xf numFmtId="0" fontId="10" fillId="45" borderId="2" xfId="1" applyFont="1" applyFill="1" applyBorder="1" applyAlignment="1">
      <alignment vertical="center"/>
    </xf>
    <xf numFmtId="0" fontId="10" fillId="45" borderId="3" xfId="1" applyFont="1" applyFill="1" applyBorder="1" applyAlignment="1">
      <alignment vertical="center"/>
    </xf>
    <xf numFmtId="0" fontId="10" fillId="45" borderId="60" xfId="1" applyFont="1" applyFill="1" applyBorder="1" applyAlignment="1">
      <alignment vertical="center"/>
    </xf>
    <xf numFmtId="0" fontId="10" fillId="45" borderId="59" xfId="1" applyFont="1" applyFill="1" applyBorder="1" applyAlignment="1">
      <alignment vertical="center"/>
    </xf>
    <xf numFmtId="0" fontId="10" fillId="45" borderId="52" xfId="1" applyFont="1" applyFill="1" applyBorder="1" applyAlignment="1">
      <alignment vertical="center"/>
    </xf>
    <xf numFmtId="0" fontId="30" fillId="0" borderId="24" xfId="1" applyFont="1" applyBorder="1" applyAlignment="1">
      <alignment horizontal="center" vertical="center"/>
    </xf>
    <xf numFmtId="0" fontId="30" fillId="0" borderId="33" xfId="1" applyFont="1" applyBorder="1" applyAlignment="1">
      <alignment horizontal="left" vertical="center" indent="1"/>
    </xf>
    <xf numFmtId="0" fontId="30" fillId="0" borderId="36" xfId="1" applyFont="1" applyBorder="1" applyAlignment="1">
      <alignment horizontal="center" vertical="center"/>
    </xf>
    <xf numFmtId="0" fontId="30" fillId="0" borderId="56" xfId="1" applyFont="1" applyBorder="1" applyAlignment="1">
      <alignment horizontal="center" vertical="center"/>
    </xf>
    <xf numFmtId="0" fontId="30" fillId="0" borderId="33" xfId="1" applyFont="1" applyBorder="1" applyAlignment="1">
      <alignment horizontal="center" vertical="center"/>
    </xf>
    <xf numFmtId="0" fontId="30" fillId="0" borderId="36" xfId="1" applyFont="1" applyBorder="1" applyAlignment="1">
      <alignment vertical="center"/>
    </xf>
    <xf numFmtId="0" fontId="31" fillId="0" borderId="10" xfId="1" applyFont="1" applyBorder="1" applyAlignment="1">
      <alignment vertical="center"/>
    </xf>
    <xf numFmtId="0" fontId="33" fillId="0" borderId="56" xfId="1" applyFont="1" applyBorder="1" applyAlignment="1">
      <alignment horizontal="center" vertical="center"/>
    </xf>
    <xf numFmtId="0" fontId="33" fillId="0" borderId="63" xfId="1" applyFont="1" applyBorder="1" applyAlignment="1">
      <alignment horizontal="center" vertical="center"/>
    </xf>
    <xf numFmtId="0" fontId="30" fillId="0" borderId="34" xfId="1" applyFont="1" applyBorder="1" applyAlignment="1">
      <alignment horizontal="center" vertical="top"/>
    </xf>
    <xf numFmtId="0" fontId="33" fillId="0" borderId="33" xfId="1" applyFont="1" applyBorder="1" applyAlignment="1">
      <alignment horizontal="left" vertical="center" indent="1"/>
    </xf>
    <xf numFmtId="0" fontId="1" fillId="0" borderId="36" xfId="1" applyBorder="1"/>
    <xf numFmtId="0" fontId="31" fillId="0" borderId="56" xfId="1" applyFont="1" applyBorder="1" applyAlignment="1">
      <alignment vertical="center"/>
    </xf>
    <xf numFmtId="0" fontId="33" fillId="0" borderId="10" xfId="1" applyFont="1" applyBorder="1" applyAlignment="1">
      <alignment vertical="center"/>
    </xf>
    <xf numFmtId="0" fontId="30" fillId="0" borderId="35" xfId="1" applyFont="1" applyBorder="1" applyAlignment="1">
      <alignment horizontal="center" vertical="center"/>
    </xf>
    <xf numFmtId="0" fontId="1" fillId="0" borderId="44" xfId="1" applyBorder="1" applyAlignment="1">
      <alignment horizontal="left" vertical="center" indent="1"/>
    </xf>
    <xf numFmtId="0" fontId="1" fillId="0" borderId="7" xfId="1" applyBorder="1" applyAlignment="1">
      <alignment horizontal="left" vertical="center" indent="1"/>
    </xf>
    <xf numFmtId="0" fontId="34" fillId="0" borderId="7" xfId="1" applyFont="1" applyBorder="1" applyAlignment="1">
      <alignment vertical="center"/>
    </xf>
    <xf numFmtId="0" fontId="1" fillId="0" borderId="30" xfId="1" applyBorder="1" applyAlignment="1">
      <alignment horizontal="left" vertical="center" indent="1"/>
    </xf>
    <xf numFmtId="0" fontId="34" fillId="0" borderId="7" xfId="1" applyFont="1" applyBorder="1" applyAlignment="1">
      <alignment vertical="center" wrapText="1"/>
    </xf>
    <xf numFmtId="0" fontId="35" fillId="0" borderId="31" xfId="1" applyFont="1" applyBorder="1" applyAlignment="1">
      <alignment vertical="center" wrapText="1"/>
    </xf>
    <xf numFmtId="0" fontId="1" fillId="0" borderId="8" xfId="1" applyBorder="1"/>
    <xf numFmtId="0" fontId="32" fillId="0" borderId="10" xfId="1" applyFont="1" applyBorder="1"/>
    <xf numFmtId="0" fontId="30" fillId="0" borderId="6" xfId="1" applyFont="1" applyBorder="1" applyAlignment="1">
      <alignment horizontal="center" vertical="center"/>
    </xf>
    <xf numFmtId="0" fontId="33" fillId="0" borderId="30" xfId="1" applyFont="1" applyBorder="1" applyAlignment="1">
      <alignment horizontal="left" vertical="center" indent="1"/>
    </xf>
    <xf numFmtId="0" fontId="32" fillId="0" borderId="7" xfId="1" applyFont="1" applyBorder="1" applyAlignment="1">
      <alignment horizontal="center" vertical="center"/>
    </xf>
    <xf numFmtId="0" fontId="1" fillId="0" borderId="7" xfId="1" applyBorder="1" applyAlignment="1">
      <alignment vertical="center"/>
    </xf>
    <xf numFmtId="0" fontId="1" fillId="0" borderId="31" xfId="1" applyBorder="1" applyAlignment="1">
      <alignment vertical="center"/>
    </xf>
    <xf numFmtId="0" fontId="33" fillId="0" borderId="27" xfId="1" applyFont="1" applyBorder="1" applyAlignment="1">
      <alignment horizontal="center" vertical="center"/>
    </xf>
    <xf numFmtId="0" fontId="1" fillId="0" borderId="9" xfId="1" applyBorder="1" applyAlignment="1">
      <alignment horizontal="left" vertical="center" indent="1"/>
    </xf>
    <xf numFmtId="0" fontId="1" fillId="0" borderId="10" xfId="1" applyBorder="1" applyAlignment="1">
      <alignment horizontal="left" vertical="center" indent="1"/>
    </xf>
    <xf numFmtId="0" fontId="34" fillId="0" borderId="10" xfId="1" applyFont="1" applyBorder="1" applyAlignment="1">
      <alignment vertical="center"/>
    </xf>
    <xf numFmtId="0" fontId="1" fillId="0" borderId="27" xfId="1" applyBorder="1" applyAlignment="1">
      <alignment horizontal="left" vertical="center" indent="1"/>
    </xf>
    <xf numFmtId="0" fontId="34" fillId="0" borderId="10" xfId="1" applyFont="1" applyBorder="1" applyAlignment="1">
      <alignment vertical="center" wrapText="1"/>
    </xf>
    <xf numFmtId="0" fontId="35" fillId="0" borderId="26" xfId="1" applyFont="1" applyBorder="1" applyAlignment="1">
      <alignment vertical="center" wrapText="1"/>
    </xf>
    <xf numFmtId="0" fontId="0" fillId="0" borderId="27" xfId="1" applyFont="1" applyBorder="1" applyAlignment="1">
      <alignment horizontal="left" vertical="center" indent="1"/>
    </xf>
    <xf numFmtId="0" fontId="1" fillId="0" borderId="11" xfId="1" applyBorder="1"/>
    <xf numFmtId="0" fontId="30" fillId="0" borderId="67" xfId="1" applyFont="1" applyBorder="1" applyAlignment="1">
      <alignment horizontal="center" vertical="center"/>
    </xf>
    <xf numFmtId="0" fontId="30" fillId="0" borderId="66" xfId="1" applyFont="1" applyBorder="1" applyAlignment="1">
      <alignment horizontal="left" vertical="center" indent="1"/>
    </xf>
    <xf numFmtId="0" fontId="30" fillId="0" borderId="31" xfId="1" applyFont="1" applyBorder="1" applyAlignment="1">
      <alignment horizontal="center" vertical="center"/>
    </xf>
    <xf numFmtId="0" fontId="30" fillId="0" borderId="30" xfId="1" applyFont="1" applyBorder="1" applyAlignment="1">
      <alignment horizontal="center" vertical="center"/>
    </xf>
    <xf numFmtId="0" fontId="30" fillId="0" borderId="7" xfId="1" applyFont="1" applyBorder="1" applyAlignment="1">
      <alignment vertical="center"/>
    </xf>
    <xf numFmtId="0" fontId="30" fillId="0" borderId="38" xfId="1" applyFont="1" applyBorder="1" applyAlignment="1">
      <alignment horizontal="center" vertical="center"/>
    </xf>
    <xf numFmtId="0" fontId="30" fillId="0" borderId="10" xfId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 indent="1"/>
    </xf>
    <xf numFmtId="0" fontId="30" fillId="0" borderId="34" xfId="1" applyFont="1" applyBorder="1" applyAlignment="1">
      <alignment horizontal="center" vertical="center"/>
    </xf>
    <xf numFmtId="0" fontId="32" fillId="0" borderId="36" xfId="1" applyFont="1" applyBorder="1"/>
    <xf numFmtId="0" fontId="32" fillId="0" borderId="10" xfId="1" applyFont="1" applyBorder="1" applyAlignment="1">
      <alignment vertical="center"/>
    </xf>
    <xf numFmtId="0" fontId="33" fillId="0" borderId="26" xfId="1" applyFont="1" applyBorder="1" applyAlignment="1">
      <alignment horizontal="center" vertical="center"/>
    </xf>
    <xf numFmtId="0" fontId="33" fillId="0" borderId="11" xfId="1" applyFont="1" applyBorder="1" applyAlignment="1">
      <alignment horizontal="center" vertical="center"/>
    </xf>
    <xf numFmtId="0" fontId="31" fillId="0" borderId="36" xfId="1" applyFont="1" applyBorder="1" applyAlignment="1">
      <alignment vertical="center" wrapText="1"/>
    </xf>
    <xf numFmtId="0" fontId="30" fillId="0" borderId="30" xfId="1" applyFont="1" applyBorder="1" applyAlignment="1">
      <alignment horizontal="left" vertical="center" indent="1"/>
    </xf>
    <xf numFmtId="0" fontId="31" fillId="0" borderId="7" xfId="1" applyFont="1" applyBorder="1" applyAlignment="1">
      <alignment vertical="center"/>
    </xf>
    <xf numFmtId="0" fontId="30" fillId="0" borderId="7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0" fillId="0" borderId="10" xfId="1" applyFont="1" applyBorder="1" applyAlignment="1">
      <alignment horizontal="left" vertical="center" indent="1"/>
    </xf>
    <xf numFmtId="0" fontId="33" fillId="0" borderId="28" xfId="1" applyFont="1" applyBorder="1" applyAlignment="1">
      <alignment horizontal="center" vertical="center"/>
    </xf>
    <xf numFmtId="0" fontId="36" fillId="45" borderId="9" xfId="1" applyFont="1" applyFill="1" applyBorder="1" applyAlignment="1">
      <alignment vertical="center"/>
    </xf>
    <xf numFmtId="0" fontId="36" fillId="45" borderId="10" xfId="1" applyFont="1" applyFill="1" applyBorder="1" applyAlignment="1">
      <alignment vertical="center"/>
    </xf>
    <xf numFmtId="0" fontId="36" fillId="45" borderId="11" xfId="1" applyFont="1" applyFill="1" applyBorder="1" applyAlignment="1">
      <alignment vertical="center"/>
    </xf>
    <xf numFmtId="0" fontId="33" fillId="0" borderId="68" xfId="1" applyFont="1" applyBorder="1" applyAlignment="1">
      <alignment horizontal="center" vertical="center"/>
    </xf>
    <xf numFmtId="0" fontId="33" fillId="0" borderId="66" xfId="1" applyFont="1" applyBorder="1" applyAlignment="1">
      <alignment horizontal="left" vertical="center" indent="1"/>
    </xf>
    <xf numFmtId="0" fontId="32" fillId="0" borderId="0" xfId="1" applyFont="1" applyAlignment="1">
      <alignment horizontal="center" vertical="center"/>
    </xf>
    <xf numFmtId="0" fontId="31" fillId="0" borderId="0" xfId="1" applyFont="1" applyAlignment="1">
      <alignment vertical="center"/>
    </xf>
    <xf numFmtId="0" fontId="31" fillId="0" borderId="69" xfId="1" applyFont="1" applyBorder="1" applyAlignment="1">
      <alignment vertical="center"/>
    </xf>
    <xf numFmtId="0" fontId="33" fillId="0" borderId="0" xfId="1" applyFont="1" applyAlignment="1">
      <alignment horizontal="center" vertical="center"/>
    </xf>
    <xf numFmtId="0" fontId="37" fillId="7" borderId="38" xfId="1" applyFont="1" applyFill="1" applyBorder="1" applyAlignment="1">
      <alignment vertical="center" wrapText="1"/>
    </xf>
    <xf numFmtId="0" fontId="37" fillId="7" borderId="42" xfId="1" applyFont="1" applyFill="1" applyBorder="1" applyAlignment="1">
      <alignment vertical="center" wrapText="1"/>
    </xf>
    <xf numFmtId="0" fontId="37" fillId="7" borderId="64" xfId="1" applyFont="1" applyFill="1" applyBorder="1" applyAlignment="1">
      <alignment vertical="center" wrapText="1"/>
    </xf>
    <xf numFmtId="0" fontId="30" fillId="0" borderId="68" xfId="1" applyFont="1" applyBorder="1" applyAlignment="1">
      <alignment horizontal="center" vertical="center"/>
    </xf>
    <xf numFmtId="0" fontId="32" fillId="0" borderId="27" xfId="1" applyFont="1" applyBorder="1" applyAlignment="1">
      <alignment horizontal="left" vertical="center" indent="1"/>
    </xf>
    <xf numFmtId="0" fontId="38" fillId="0" borderId="10" xfId="1" applyFont="1" applyBorder="1"/>
    <xf numFmtId="0" fontId="31" fillId="0" borderId="31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0" fillId="0" borderId="8" xfId="1" applyFont="1" applyBorder="1" applyAlignment="1">
      <alignment horizontal="center" vertical="center"/>
    </xf>
    <xf numFmtId="0" fontId="33" fillId="0" borderId="34" xfId="1" applyFont="1" applyBorder="1" applyAlignment="1">
      <alignment horizontal="center" vertical="center"/>
    </xf>
    <xf numFmtId="0" fontId="33" fillId="0" borderId="27" xfId="1" applyFont="1" applyBorder="1" applyAlignment="1">
      <alignment horizontal="left" vertical="center" indent="1"/>
    </xf>
    <xf numFmtId="0" fontId="33" fillId="0" borderId="10" xfId="1" applyFont="1" applyBorder="1" applyAlignment="1">
      <alignment horizontal="center" vertical="center"/>
    </xf>
    <xf numFmtId="0" fontId="33" fillId="0" borderId="24" xfId="1" applyFont="1" applyBorder="1" applyAlignment="1">
      <alignment horizontal="center" vertical="center"/>
    </xf>
    <xf numFmtId="0" fontId="32" fillId="0" borderId="0" xfId="1" applyFont="1" applyAlignment="1">
      <alignment vertical="center"/>
    </xf>
    <xf numFmtId="0" fontId="32" fillId="0" borderId="69" xfId="1" applyFont="1" applyBorder="1" applyAlignment="1">
      <alignment vertical="center"/>
    </xf>
    <xf numFmtId="0" fontId="31" fillId="0" borderId="36" xfId="1" applyFont="1" applyBorder="1" applyAlignment="1">
      <alignment horizontal="left" vertical="center"/>
    </xf>
    <xf numFmtId="0" fontId="31" fillId="0" borderId="56" xfId="1" applyFont="1" applyBorder="1" applyAlignment="1">
      <alignment horizontal="left" vertical="center"/>
    </xf>
    <xf numFmtId="0" fontId="32" fillId="0" borderId="0" xfId="1" applyFont="1"/>
    <xf numFmtId="0" fontId="33" fillId="0" borderId="67" xfId="1" applyFont="1" applyBorder="1" applyAlignment="1">
      <alignment horizontal="center" vertical="center"/>
    </xf>
    <xf numFmtId="0" fontId="31" fillId="0" borderId="27" xfId="1" applyFont="1" applyBorder="1" applyAlignment="1">
      <alignment horizontal="left" vertical="center" indent="1"/>
    </xf>
    <xf numFmtId="0" fontId="31" fillId="0" borderId="10" xfId="1" applyFont="1" applyBorder="1" applyAlignment="1">
      <alignment vertical="center" wrapText="1"/>
    </xf>
    <xf numFmtId="0" fontId="31" fillId="0" borderId="66" xfId="1" applyFont="1" applyBorder="1" applyAlignment="1">
      <alignment horizontal="left" vertical="center" indent="1"/>
    </xf>
    <xf numFmtId="0" fontId="31" fillId="0" borderId="0" xfId="1" applyFont="1" applyAlignment="1">
      <alignment vertical="center" wrapText="1"/>
    </xf>
    <xf numFmtId="0" fontId="33" fillId="0" borderId="70" xfId="1" applyFont="1" applyBorder="1" applyAlignment="1">
      <alignment horizontal="center" vertical="center"/>
    </xf>
    <xf numFmtId="0" fontId="31" fillId="0" borderId="33" xfId="1" applyFont="1" applyBorder="1" applyAlignment="1">
      <alignment horizontal="left" vertical="center" indent="1"/>
    </xf>
    <xf numFmtId="0" fontId="33" fillId="0" borderId="35" xfId="1" applyFont="1" applyBorder="1" applyAlignment="1">
      <alignment horizontal="center" vertical="center"/>
    </xf>
    <xf numFmtId="0" fontId="32" fillId="0" borderId="10" xfId="1" applyFont="1" applyBorder="1" applyAlignment="1">
      <alignment horizontal="left" vertical="center"/>
    </xf>
    <xf numFmtId="0" fontId="31" fillId="0" borderId="7" xfId="1" applyFont="1" applyBorder="1" applyAlignment="1">
      <alignment horizontal="left" vertical="center"/>
    </xf>
    <xf numFmtId="0" fontId="31" fillId="0" borderId="31" xfId="1" applyFont="1" applyBorder="1" applyAlignment="1">
      <alignment horizontal="left" vertical="center"/>
    </xf>
    <xf numFmtId="0" fontId="37" fillId="0" borderId="7" xfId="1" applyFont="1" applyBorder="1" applyAlignment="1">
      <alignment horizontal="center" vertical="center"/>
    </xf>
    <xf numFmtId="0" fontId="37" fillId="0" borderId="7" xfId="1" applyFont="1" applyBorder="1" applyAlignment="1">
      <alignment vertical="center"/>
    </xf>
    <xf numFmtId="0" fontId="37" fillId="0" borderId="31" xfId="1" applyFont="1" applyBorder="1" applyAlignment="1">
      <alignment vertical="center"/>
    </xf>
    <xf numFmtId="0" fontId="31" fillId="0" borderId="36" xfId="1" applyFont="1" applyBorder="1" applyAlignment="1">
      <alignment horizontal="left" vertical="center" indent="1"/>
    </xf>
    <xf numFmtId="0" fontId="25" fillId="0" borderId="4" xfId="1" applyFont="1" applyBorder="1" applyAlignment="1">
      <alignment wrapText="1"/>
    </xf>
    <xf numFmtId="0" fontId="33" fillId="0" borderId="57" xfId="1" applyFont="1" applyBorder="1" applyAlignment="1">
      <alignment horizontal="center" vertical="center"/>
    </xf>
    <xf numFmtId="0" fontId="31" fillId="0" borderId="10" xfId="1" applyFont="1" applyBorder="1" applyAlignment="1">
      <alignment horizontal="left" vertical="center" indent="1"/>
    </xf>
    <xf numFmtId="0" fontId="31" fillId="0" borderId="30" xfId="1" applyFont="1" applyBorder="1" applyAlignment="1">
      <alignment horizontal="left" vertical="center" indent="1"/>
    </xf>
    <xf numFmtId="0" fontId="31" fillId="0" borderId="7" xfId="1" applyFont="1" applyBorder="1" applyAlignment="1">
      <alignment vertical="center" wrapText="1"/>
    </xf>
    <xf numFmtId="0" fontId="39" fillId="0" borderId="0" xfId="1" applyFont="1" applyAlignment="1">
      <alignment vertical="center"/>
    </xf>
    <xf numFmtId="0" fontId="30" fillId="0" borderId="57" xfId="1" applyFont="1" applyBorder="1" applyAlignment="1">
      <alignment horizontal="center" vertical="top"/>
    </xf>
    <xf numFmtId="0" fontId="33" fillId="0" borderId="13" xfId="1" applyFont="1" applyBorder="1" applyAlignment="1">
      <alignment horizontal="center" vertical="center"/>
    </xf>
    <xf numFmtId="0" fontId="40" fillId="0" borderId="15" xfId="1" applyFont="1" applyBorder="1" applyAlignment="1">
      <alignment horizontal="left" vertical="center" indent="1"/>
    </xf>
    <xf numFmtId="0" fontId="31" fillId="0" borderId="51" xfId="1" applyFont="1" applyBorder="1" applyAlignment="1">
      <alignment vertical="center" wrapText="1"/>
    </xf>
    <xf numFmtId="0" fontId="31" fillId="0" borderId="51" xfId="1" applyFont="1" applyBorder="1" applyAlignment="1">
      <alignment vertical="center"/>
    </xf>
    <xf numFmtId="0" fontId="31" fillId="0" borderId="54" xfId="1" applyFont="1" applyBorder="1" applyAlignment="1">
      <alignment vertical="center"/>
    </xf>
    <xf numFmtId="0" fontId="30" fillId="0" borderId="15" xfId="1" applyFont="1" applyBorder="1" applyAlignment="1">
      <alignment horizontal="center" vertical="center"/>
    </xf>
    <xf numFmtId="0" fontId="30" fillId="0" borderId="51" xfId="1" applyFont="1" applyBorder="1" applyAlignment="1">
      <alignment vertical="center"/>
    </xf>
    <xf numFmtId="0" fontId="32" fillId="0" borderId="51" xfId="1" applyFont="1" applyBorder="1"/>
    <xf numFmtId="0" fontId="33" fillId="0" borderId="16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top"/>
    </xf>
    <xf numFmtId="0" fontId="30" fillId="0" borderId="15" xfId="1" applyFont="1" applyBorder="1" applyAlignment="1">
      <alignment horizontal="left" vertical="top" indent="1"/>
    </xf>
    <xf numFmtId="0" fontId="30" fillId="0" borderId="51" xfId="1" applyFont="1" applyBorder="1" applyAlignment="1">
      <alignment horizontal="center" vertical="center"/>
    </xf>
    <xf numFmtId="0" fontId="33" fillId="0" borderId="54" xfId="1" applyFont="1" applyBorder="1" applyAlignment="1">
      <alignment horizontal="center" vertical="center"/>
    </xf>
    <xf numFmtId="0" fontId="33" fillId="0" borderId="15" xfId="1" applyFont="1" applyBorder="1" applyAlignment="1">
      <alignment horizontal="center" vertical="center"/>
    </xf>
    <xf numFmtId="0" fontId="33" fillId="0" borderId="51" xfId="1" applyFont="1" applyBorder="1" applyAlignment="1">
      <alignment vertical="center"/>
    </xf>
    <xf numFmtId="0" fontId="1" fillId="0" borderId="51" xfId="1" applyBorder="1"/>
    <xf numFmtId="0" fontId="30" fillId="0" borderId="54" xfId="1" applyFont="1" applyBorder="1" applyAlignment="1">
      <alignment horizontal="center" vertical="center"/>
    </xf>
    <xf numFmtId="0" fontId="30" fillId="0" borderId="71" xfId="1" applyFont="1" applyBorder="1" applyAlignment="1">
      <alignment horizontal="center" vertical="center"/>
    </xf>
    <xf numFmtId="0" fontId="25" fillId="0" borderId="20" xfId="1" applyFont="1" applyBorder="1" applyAlignment="1">
      <alignment wrapText="1"/>
    </xf>
    <xf numFmtId="0" fontId="10" fillId="0" borderId="21" xfId="1" applyFont="1" applyBorder="1" applyAlignment="1">
      <alignment vertical="center"/>
    </xf>
    <xf numFmtId="0" fontId="30" fillId="0" borderId="0" xfId="1" applyFont="1" applyAlignment="1">
      <alignment horizontal="center" vertical="top"/>
    </xf>
    <xf numFmtId="0" fontId="30" fillId="0" borderId="0" xfId="1" applyFont="1" applyAlignment="1">
      <alignment horizontal="left" vertical="top" indent="1"/>
    </xf>
    <xf numFmtId="0" fontId="33" fillId="0" borderId="0" xfId="1" applyFont="1" applyAlignment="1">
      <alignment vertical="center"/>
    </xf>
    <xf numFmtId="0" fontId="25" fillId="0" borderId="0" xfId="1" applyFont="1" applyAlignment="1">
      <alignment wrapText="1"/>
    </xf>
    <xf numFmtId="0" fontId="33" fillId="0" borderId="0" xfId="1" applyFont="1" applyAlignment="1">
      <alignment horizontal="left" vertical="center" indent="1"/>
    </xf>
    <xf numFmtId="0" fontId="34" fillId="0" borderId="0" xfId="1" applyFont="1" applyAlignment="1">
      <alignment vertical="center" wrapText="1"/>
    </xf>
    <xf numFmtId="0" fontId="30" fillId="22" borderId="0" xfId="1" applyFont="1" applyFill="1" applyAlignment="1">
      <alignment horizontal="left" vertical="top" indent="1"/>
    </xf>
    <xf numFmtId="0" fontId="1" fillId="7" borderId="0" xfId="1" applyFill="1"/>
    <xf numFmtId="0" fontId="1" fillId="0" borderId="0" xfId="1" applyAlignment="1">
      <alignment horizontal="left" vertical="center" indent="1"/>
    </xf>
    <xf numFmtId="0" fontId="1" fillId="36" borderId="0" xfId="1" applyFill="1" applyAlignment="1">
      <alignment horizontal="left" vertical="center" indent="1"/>
    </xf>
    <xf numFmtId="0" fontId="34" fillId="0" borderId="0" xfId="1" applyFont="1" applyAlignment="1">
      <alignment vertical="center"/>
    </xf>
    <xf numFmtId="0" fontId="35" fillId="0" borderId="0" xfId="1" applyFont="1" applyAlignment="1">
      <alignment vertical="center" wrapText="1"/>
    </xf>
    <xf numFmtId="0" fontId="30" fillId="23" borderId="0" xfId="1" applyFont="1" applyFill="1" applyAlignment="1">
      <alignment horizontal="left" vertical="top" indent="1"/>
    </xf>
    <xf numFmtId="0" fontId="1" fillId="29" borderId="0" xfId="1" applyFill="1"/>
    <xf numFmtId="0" fontId="1" fillId="37" borderId="0" xfId="1" applyFill="1" applyAlignment="1">
      <alignment horizontal="left" vertical="center" indent="1"/>
    </xf>
    <xf numFmtId="0" fontId="0" fillId="0" borderId="0" xfId="1" applyFont="1" applyAlignment="1">
      <alignment horizontal="left" vertical="center" indent="1"/>
    </xf>
    <xf numFmtId="0" fontId="32" fillId="24" borderId="0" xfId="1" applyFont="1" applyFill="1" applyAlignment="1">
      <alignment horizontal="left" indent="1"/>
    </xf>
    <xf numFmtId="0" fontId="33" fillId="0" borderId="0" xfId="1" applyFont="1" applyAlignment="1">
      <alignment horizontal="left" vertical="center"/>
    </xf>
    <xf numFmtId="0" fontId="32" fillId="30" borderId="0" xfId="1" applyFont="1" applyFill="1" applyAlignment="1">
      <alignment vertical="center"/>
    </xf>
    <xf numFmtId="0" fontId="1" fillId="38" borderId="0" xfId="1" applyFill="1" applyAlignment="1">
      <alignment horizontal="left" vertical="center" indent="1"/>
    </xf>
    <xf numFmtId="0" fontId="15" fillId="0" borderId="0" xfId="1" applyFont="1" applyAlignment="1">
      <alignment horizontal="left" vertical="center" indent="1"/>
    </xf>
    <xf numFmtId="0" fontId="32" fillId="25" borderId="0" xfId="1" applyFont="1" applyFill="1" applyAlignment="1">
      <alignment horizontal="left" indent="1"/>
    </xf>
    <xf numFmtId="0" fontId="32" fillId="31" borderId="0" xfId="1" applyFont="1" applyFill="1" applyAlignment="1">
      <alignment vertical="center"/>
    </xf>
    <xf numFmtId="0" fontId="1" fillId="39" borderId="0" xfId="1" applyFill="1" applyAlignment="1">
      <alignment horizontal="left" vertical="center" indent="1"/>
    </xf>
    <xf numFmtId="0" fontId="30" fillId="26" borderId="0" xfId="1" applyFont="1" applyFill="1" applyAlignment="1">
      <alignment horizontal="left" vertical="top" indent="1"/>
    </xf>
    <xf numFmtId="0" fontId="1" fillId="32" borderId="0" xfId="1" applyFill="1"/>
    <xf numFmtId="0" fontId="1" fillId="40" borderId="0" xfId="1" applyFill="1" applyAlignment="1">
      <alignment horizontal="left" vertical="center" indent="1"/>
    </xf>
    <xf numFmtId="0" fontId="30" fillId="27" borderId="0" xfId="1" applyFont="1" applyFill="1" applyAlignment="1">
      <alignment horizontal="left" vertical="top" indent="1"/>
    </xf>
    <xf numFmtId="0" fontId="1" fillId="33" borderId="0" xfId="1" applyFill="1"/>
    <xf numFmtId="0" fontId="1" fillId="41" borderId="0" xfId="1" applyFill="1" applyAlignment="1">
      <alignment horizontal="left" vertical="center" indent="1"/>
    </xf>
    <xf numFmtId="0" fontId="36" fillId="0" borderId="0" xfId="1" applyFont="1" applyAlignment="1">
      <alignment vertical="center"/>
    </xf>
    <xf numFmtId="0" fontId="30" fillId="28" borderId="0" xfId="1" applyFont="1" applyFill="1" applyAlignment="1">
      <alignment horizontal="left" vertical="top" indent="1"/>
    </xf>
    <xf numFmtId="0" fontId="1" fillId="34" borderId="0" xfId="1" applyFill="1"/>
    <xf numFmtId="0" fontId="36" fillId="42" borderId="0" xfId="1" applyFont="1" applyFill="1" applyAlignment="1">
      <alignment vertical="center"/>
    </xf>
    <xf numFmtId="0" fontId="37" fillId="0" borderId="0" xfId="1" applyFont="1" applyAlignment="1">
      <alignment vertical="center" wrapText="1"/>
    </xf>
    <xf numFmtId="0" fontId="32" fillId="0" borderId="0" xfId="1" applyFont="1" applyAlignment="1">
      <alignment horizontal="left" indent="1"/>
    </xf>
    <xf numFmtId="0" fontId="32" fillId="35" borderId="0" xfId="1" applyFont="1" applyFill="1" applyAlignment="1">
      <alignment vertical="center"/>
    </xf>
    <xf numFmtId="0" fontId="31" fillId="0" borderId="0" xfId="1" applyFont="1" applyAlignment="1">
      <alignment horizontal="left" vertical="center" indent="1"/>
    </xf>
    <xf numFmtId="0" fontId="1" fillId="0" borderId="0" xfId="1" applyAlignment="1">
      <alignment vertical="center"/>
    </xf>
    <xf numFmtId="0" fontId="39" fillId="0" borderId="0" xfId="1" applyFont="1" applyAlignment="1">
      <alignment vertical="top" wrapText="1"/>
    </xf>
    <xf numFmtId="0" fontId="41" fillId="0" borderId="0" xfId="1" applyFont="1"/>
    <xf numFmtId="0" fontId="42" fillId="0" borderId="0" xfId="1" applyFont="1" applyAlignment="1">
      <alignment horizontal="center" vertical="center"/>
    </xf>
    <xf numFmtId="0" fontId="31" fillId="0" borderId="0" xfId="1" applyFont="1"/>
    <xf numFmtId="0" fontId="31" fillId="0" borderId="0" xfId="1" applyFont="1" applyAlignment="1">
      <alignment horizontal="center" vertical="center"/>
    </xf>
    <xf numFmtId="0" fontId="43" fillId="0" borderId="0" xfId="1" applyFont="1"/>
    <xf numFmtId="0" fontId="44" fillId="0" borderId="0" xfId="1" applyFont="1"/>
    <xf numFmtId="0" fontId="32" fillId="0" borderId="0" xfId="1" applyFont="1" applyAlignment="1">
      <alignment horizontal="left" vertical="center" indent="1"/>
    </xf>
    <xf numFmtId="0" fontId="41" fillId="0" borderId="0" xfId="1" applyFont="1" applyAlignment="1">
      <alignment vertical="top"/>
    </xf>
    <xf numFmtId="0" fontId="44" fillId="0" borderId="0" xfId="1" applyFont="1" applyAlignment="1">
      <alignment horizontal="center" vertical="center"/>
    </xf>
    <xf numFmtId="0" fontId="10" fillId="0" borderId="0" xfId="1" applyFont="1" applyAlignment="1">
      <alignment vertical="top"/>
    </xf>
    <xf numFmtId="0" fontId="45" fillId="0" borderId="0" xfId="1" applyFont="1"/>
    <xf numFmtId="0" fontId="31" fillId="0" borderId="0" xfId="1" applyFont="1" applyAlignment="1">
      <alignment horizontal="left" vertical="center"/>
    </xf>
    <xf numFmtId="0" fontId="4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38" fillId="0" borderId="0" xfId="1" applyFont="1" applyAlignment="1">
      <alignment vertical="center"/>
    </xf>
    <xf numFmtId="0" fontId="10" fillId="0" borderId="37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27" fillId="43" borderId="59" xfId="1" applyFont="1" applyFill="1" applyBorder="1" applyAlignment="1">
      <alignment horizontal="center" vertical="center"/>
    </xf>
    <xf numFmtId="0" fontId="27" fillId="43" borderId="3" xfId="1" applyFont="1" applyFill="1" applyBorder="1" applyAlignment="1">
      <alignment horizontal="center" vertical="center"/>
    </xf>
    <xf numFmtId="0" fontId="27" fillId="43" borderId="60" xfId="1" applyFont="1" applyFill="1" applyBorder="1" applyAlignment="1">
      <alignment horizontal="center" vertical="center"/>
    </xf>
    <xf numFmtId="0" fontId="27" fillId="4" borderId="59" xfId="1" applyFont="1" applyFill="1" applyBorder="1" applyAlignment="1">
      <alignment horizontal="center" vertical="center"/>
    </xf>
    <xf numFmtId="0" fontId="27" fillId="4" borderId="3" xfId="1" applyFont="1" applyFill="1" applyBorder="1" applyAlignment="1">
      <alignment horizontal="center" vertical="center"/>
    </xf>
    <xf numFmtId="0" fontId="27" fillId="4" borderId="60" xfId="1" applyFont="1" applyFill="1" applyBorder="1" applyAlignment="1">
      <alignment horizontal="center" vertical="center"/>
    </xf>
    <xf numFmtId="0" fontId="10" fillId="20" borderId="44" xfId="1" applyFont="1" applyFill="1" applyBorder="1" applyAlignment="1">
      <alignment horizontal="center" vertical="center"/>
    </xf>
    <xf numFmtId="0" fontId="10" fillId="20" borderId="22" xfId="1" applyFont="1" applyFill="1" applyBorder="1" applyAlignment="1">
      <alignment horizontal="center" vertical="center"/>
    </xf>
    <xf numFmtId="0" fontId="10" fillId="20" borderId="55" xfId="1" applyFont="1" applyFill="1" applyBorder="1" applyAlignment="1">
      <alignment horizontal="center" vertical="center"/>
    </xf>
    <xf numFmtId="0" fontId="12" fillId="20" borderId="9" xfId="1" applyFont="1" applyFill="1" applyBorder="1" applyAlignment="1">
      <alignment horizontal="center" vertical="center"/>
    </xf>
    <xf numFmtId="0" fontId="12" fillId="20" borderId="10" xfId="1" applyFont="1" applyFill="1" applyBorder="1" applyAlignment="1">
      <alignment horizontal="center" vertical="center"/>
    </xf>
    <xf numFmtId="0" fontId="12" fillId="20" borderId="11" xfId="1" applyFont="1" applyFill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6" fillId="21" borderId="2" xfId="1" applyFont="1" applyFill="1" applyBorder="1" applyAlignment="1">
      <alignment horizontal="center" vertical="center"/>
    </xf>
    <xf numFmtId="0" fontId="16" fillId="21" borderId="3" xfId="1" applyFont="1" applyFill="1" applyBorder="1" applyAlignment="1">
      <alignment horizontal="center" vertical="center"/>
    </xf>
    <xf numFmtId="0" fontId="16" fillId="21" borderId="52" xfId="1" applyFont="1" applyFill="1" applyBorder="1" applyAlignment="1">
      <alignment horizontal="center" vertical="center"/>
    </xf>
    <xf numFmtId="0" fontId="20" fillId="7" borderId="10" xfId="1" applyFont="1" applyFill="1" applyBorder="1" applyAlignment="1">
      <alignment horizontal="center" vertical="center"/>
    </xf>
    <xf numFmtId="0" fontId="20" fillId="7" borderId="11" xfId="1" applyFont="1" applyFill="1" applyBorder="1" applyAlignment="1">
      <alignment horizontal="center" vertical="center"/>
    </xf>
    <xf numFmtId="0" fontId="21" fillId="18" borderId="9" xfId="1" applyFont="1" applyFill="1" applyBorder="1" applyAlignment="1">
      <alignment horizontal="center" vertical="center"/>
    </xf>
    <xf numFmtId="0" fontId="21" fillId="18" borderId="10" xfId="1" applyFont="1" applyFill="1" applyBorder="1" applyAlignment="1">
      <alignment horizontal="center" vertical="center"/>
    </xf>
    <xf numFmtId="0" fontId="21" fillId="18" borderId="11" xfId="1" applyFont="1" applyFill="1" applyBorder="1" applyAlignment="1">
      <alignment horizontal="center" vertical="center"/>
    </xf>
    <xf numFmtId="0" fontId="20" fillId="7" borderId="31" xfId="1" applyFont="1" applyFill="1" applyBorder="1" applyAlignment="1">
      <alignment horizontal="center" vertical="center"/>
    </xf>
    <xf numFmtId="0" fontId="20" fillId="7" borderId="29" xfId="1" applyFont="1" applyFill="1" applyBorder="1" applyAlignment="1">
      <alignment horizontal="center" vertical="center"/>
    </xf>
    <xf numFmtId="0" fontId="20" fillId="7" borderId="25" xfId="1" applyFont="1" applyFill="1" applyBorder="1" applyAlignment="1">
      <alignment horizontal="center" vertical="center"/>
    </xf>
    <xf numFmtId="0" fontId="20" fillId="7" borderId="30" xfId="1" applyFont="1" applyFill="1" applyBorder="1" applyAlignment="1">
      <alignment horizontal="center" vertical="center"/>
    </xf>
    <xf numFmtId="0" fontId="20" fillId="7" borderId="50" xfId="1" applyFont="1" applyFill="1" applyBorder="1" applyAlignment="1">
      <alignment horizontal="center" vertical="center"/>
    </xf>
    <xf numFmtId="0" fontId="20" fillId="7" borderId="27" xfId="1" applyFont="1" applyFill="1" applyBorder="1" applyAlignment="1">
      <alignment horizontal="center" vertical="center"/>
    </xf>
    <xf numFmtId="0" fontId="20" fillId="7" borderId="28" xfId="1" applyFont="1" applyFill="1" applyBorder="1" applyAlignment="1">
      <alignment horizontal="center" vertical="center"/>
    </xf>
    <xf numFmtId="0" fontId="22" fillId="8" borderId="54" xfId="1" applyFont="1" applyFill="1" applyBorder="1" applyAlignment="1">
      <alignment horizontal="center" vertical="center"/>
    </xf>
    <xf numFmtId="0" fontId="22" fillId="8" borderId="14" xfId="1" applyFont="1" applyFill="1" applyBorder="1" applyAlignment="1">
      <alignment horizontal="center" vertical="center"/>
    </xf>
    <xf numFmtId="0" fontId="22" fillId="8" borderId="15" xfId="1" applyFont="1" applyFill="1" applyBorder="1" applyAlignment="1">
      <alignment horizontal="center" vertical="center"/>
    </xf>
    <xf numFmtId="0" fontId="22" fillId="8" borderId="16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24" fillId="19" borderId="2" xfId="1" applyFont="1" applyFill="1" applyBorder="1" applyAlignment="1">
      <alignment horizontal="center" vertical="center"/>
    </xf>
    <xf numFmtId="0" fontId="24" fillId="19" borderId="3" xfId="1" applyFont="1" applyFill="1" applyBorder="1" applyAlignment="1">
      <alignment horizontal="center" vertical="center"/>
    </xf>
    <xf numFmtId="0" fontId="24" fillId="19" borderId="52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15" borderId="22" xfId="1" applyFont="1" applyFill="1" applyBorder="1" applyAlignment="1">
      <alignment horizontal="center" vertical="center"/>
    </xf>
    <xf numFmtId="0" fontId="10" fillId="15" borderId="55" xfId="1" applyFont="1" applyFill="1" applyBorder="1" applyAlignment="1">
      <alignment horizontal="center" vertical="center"/>
    </xf>
    <xf numFmtId="0" fontId="12" fillId="15" borderId="9" xfId="1" applyFont="1" applyFill="1" applyBorder="1" applyAlignment="1">
      <alignment horizontal="center" vertical="center"/>
    </xf>
    <xf numFmtId="0" fontId="12" fillId="15" borderId="10" xfId="1" applyFont="1" applyFill="1" applyBorder="1" applyAlignment="1">
      <alignment horizontal="center" vertical="center"/>
    </xf>
    <xf numFmtId="0" fontId="12" fillId="15" borderId="11" xfId="1" applyFont="1" applyFill="1" applyBorder="1" applyAlignment="1">
      <alignment horizontal="center" vertical="center"/>
    </xf>
    <xf numFmtId="0" fontId="16" fillId="16" borderId="2" xfId="1" applyFont="1" applyFill="1" applyBorder="1" applyAlignment="1">
      <alignment horizontal="center" vertical="center"/>
    </xf>
    <xf numFmtId="0" fontId="16" fillId="16" borderId="3" xfId="1" applyFont="1" applyFill="1" applyBorder="1" applyAlignment="1">
      <alignment horizontal="center" vertical="center"/>
    </xf>
    <xf numFmtId="0" fontId="16" fillId="16" borderId="52" xfId="1" applyFont="1" applyFill="1" applyBorder="1" applyAlignment="1">
      <alignment horizontal="center" vertical="center"/>
    </xf>
    <xf numFmtId="0" fontId="21" fillId="17" borderId="20" xfId="1" applyFont="1" applyFill="1" applyBorder="1" applyAlignment="1">
      <alignment horizontal="center" vertical="center"/>
    </xf>
    <xf numFmtId="0" fontId="21" fillId="17" borderId="21" xfId="1" applyFont="1" applyFill="1" applyBorder="1" applyAlignment="1">
      <alignment horizontal="center" vertical="center"/>
    </xf>
    <xf numFmtId="0" fontId="21" fillId="17" borderId="22" xfId="1" applyFont="1" applyFill="1" applyBorder="1" applyAlignment="1">
      <alignment horizontal="center" vertical="center"/>
    </xf>
    <xf numFmtId="0" fontId="21" fillId="17" borderId="55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center" vertical="center"/>
    </xf>
    <xf numFmtId="0" fontId="10" fillId="13" borderId="3" xfId="1" applyFont="1" applyFill="1" applyBorder="1" applyAlignment="1">
      <alignment horizontal="center" vertical="center"/>
    </xf>
    <xf numFmtId="0" fontId="10" fillId="13" borderId="52" xfId="1" applyFont="1" applyFill="1" applyBorder="1" applyAlignment="1">
      <alignment horizontal="center" vertical="center"/>
    </xf>
    <xf numFmtId="0" fontId="20" fillId="7" borderId="26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14" borderId="2" xfId="1" applyFont="1" applyFill="1" applyBorder="1" applyAlignment="1">
      <alignment horizontal="center" vertical="center"/>
    </xf>
    <xf numFmtId="0" fontId="10" fillId="14" borderId="3" xfId="1" applyFont="1" applyFill="1" applyBorder="1" applyAlignment="1">
      <alignment horizontal="center" vertical="center"/>
    </xf>
    <xf numFmtId="0" fontId="10" fillId="14" borderId="52" xfId="1" applyFont="1" applyFill="1" applyBorder="1" applyAlignment="1">
      <alignment horizontal="center" vertical="center"/>
    </xf>
    <xf numFmtId="0" fontId="10" fillId="15" borderId="44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1" fillId="11" borderId="2" xfId="1" applyFont="1" applyFill="1" applyBorder="1" applyAlignment="1">
      <alignment horizontal="center" vertical="center"/>
    </xf>
    <xf numFmtId="0" fontId="11" fillId="11" borderId="3" xfId="1" applyFont="1" applyFill="1" applyBorder="1" applyAlignment="1">
      <alignment horizontal="center" vertical="center"/>
    </xf>
    <xf numFmtId="0" fontId="11" fillId="11" borderId="52" xfId="1" applyFont="1" applyFill="1" applyBorder="1" applyAlignment="1">
      <alignment horizontal="center" vertical="center"/>
    </xf>
    <xf numFmtId="0" fontId="10" fillId="12" borderId="6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center" vertical="center"/>
    </xf>
    <xf numFmtId="0" fontId="10" fillId="12" borderId="8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2" fillId="12" borderId="9" xfId="1" applyFont="1" applyFill="1" applyBorder="1" applyAlignment="1">
      <alignment horizontal="center" vertical="center"/>
    </xf>
    <xf numFmtId="0" fontId="12" fillId="12" borderId="10" xfId="1" applyFont="1" applyFill="1" applyBorder="1" applyAlignment="1">
      <alignment horizontal="center" vertical="center"/>
    </xf>
    <xf numFmtId="0" fontId="12" fillId="12" borderId="11" xfId="1" applyFont="1" applyFill="1" applyBorder="1" applyAlignment="1">
      <alignment horizontal="center" vertical="center"/>
    </xf>
    <xf numFmtId="0" fontId="12" fillId="9" borderId="10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10" fillId="10" borderId="3" xfId="1" applyFont="1" applyFill="1" applyBorder="1" applyAlignment="1">
      <alignment horizontal="center" vertical="center"/>
    </xf>
    <xf numFmtId="0" fontId="22" fillId="8" borderId="40" xfId="1" applyFont="1" applyFill="1" applyBorder="1" applyAlignment="1">
      <alignment horizontal="center" vertical="center"/>
    </xf>
    <xf numFmtId="0" fontId="22" fillId="8" borderId="41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0" fillId="9" borderId="6" xfId="1" applyFont="1" applyFill="1" applyBorder="1" applyAlignment="1">
      <alignment horizontal="center" vertical="center"/>
    </xf>
    <xf numFmtId="0" fontId="10" fillId="9" borderId="7" xfId="1" applyFont="1" applyFill="1" applyBorder="1" applyAlignment="1">
      <alignment horizontal="center" vertical="center"/>
    </xf>
    <xf numFmtId="0" fontId="10" fillId="9" borderId="8" xfId="1" applyFont="1" applyFill="1" applyBorder="1" applyAlignment="1">
      <alignment horizontal="center" vertical="center"/>
    </xf>
    <xf numFmtId="0" fontId="12" fillId="9" borderId="9" xfId="1" applyFont="1" applyFill="1" applyBorder="1" applyAlignment="1">
      <alignment horizontal="center" vertical="center"/>
    </xf>
    <xf numFmtId="0" fontId="12" fillId="9" borderId="11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/>
    </xf>
    <xf numFmtId="0" fontId="10" fillId="5" borderId="21" xfId="1" applyFont="1" applyFill="1" applyBorder="1" applyAlignment="1">
      <alignment horizontal="center" vertical="center"/>
    </xf>
    <xf numFmtId="0" fontId="10" fillId="5" borderId="22" xfId="1" applyFont="1" applyFill="1" applyBorder="1" applyAlignment="1">
      <alignment horizontal="center" vertical="center"/>
    </xf>
    <xf numFmtId="0" fontId="19" fillId="6" borderId="9" xfId="1" applyFont="1" applyFill="1" applyBorder="1" applyAlignment="1">
      <alignment horizontal="center" vertical="center"/>
    </xf>
    <xf numFmtId="0" fontId="19" fillId="6" borderId="10" xfId="1" applyFont="1" applyFill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47" fillId="0" borderId="0" xfId="1" applyFont="1" applyAlignment="1">
      <alignment vertical="center"/>
    </xf>
    <xf numFmtId="0" fontId="48" fillId="0" borderId="0" xfId="1" applyFont="1" applyAlignment="1">
      <alignment horizontal="center" vertical="center"/>
    </xf>
    <xf numFmtId="0" fontId="48" fillId="0" borderId="0" xfId="1" applyFont="1" applyAlignment="1">
      <alignment vertical="center"/>
    </xf>
    <xf numFmtId="0" fontId="49" fillId="0" borderId="0" xfId="1" applyFont="1" applyAlignment="1">
      <alignment horizontal="center" vertical="center" wrapText="1"/>
    </xf>
    <xf numFmtId="0" fontId="49" fillId="0" borderId="0" xfId="1" applyFont="1" applyAlignment="1">
      <alignment vertical="center" wrapText="1"/>
    </xf>
    <xf numFmtId="0" fontId="49" fillId="0" borderId="42" xfId="1" applyFont="1" applyBorder="1" applyAlignment="1">
      <alignment horizontal="center" vertical="center"/>
    </xf>
    <xf numFmtId="0" fontId="49" fillId="0" borderId="0" xfId="1" applyFont="1" applyAlignment="1">
      <alignment vertical="center"/>
    </xf>
    <xf numFmtId="0" fontId="50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0" fontId="51" fillId="0" borderId="0" xfId="1" applyFont="1" applyAlignment="1">
      <alignment horizontal="left" vertical="center" indent="1"/>
    </xf>
    <xf numFmtId="0" fontId="52" fillId="0" borderId="0" xfId="1" applyFont="1" applyAlignment="1">
      <alignment vertical="center"/>
    </xf>
    <xf numFmtId="0" fontId="50" fillId="32" borderId="0" xfId="1" applyFont="1" applyFill="1" applyAlignment="1">
      <alignment vertical="center"/>
    </xf>
    <xf numFmtId="0" fontId="51" fillId="32" borderId="0" xfId="1" applyFont="1" applyFill="1" applyAlignment="1">
      <alignment horizontal="left" vertical="center" indent="1"/>
    </xf>
    <xf numFmtId="0" fontId="53" fillId="0" borderId="0" xfId="1" applyFont="1" applyAlignment="1">
      <alignment horizontal="center" vertical="center"/>
    </xf>
    <xf numFmtId="0" fontId="54" fillId="0" borderId="0" xfId="1" applyFont="1" applyAlignment="1">
      <alignment vertical="center"/>
    </xf>
    <xf numFmtId="0" fontId="55" fillId="0" borderId="0" xfId="1" applyFont="1" applyAlignment="1">
      <alignment vertical="center"/>
    </xf>
    <xf numFmtId="0" fontId="52" fillId="0" borderId="0" xfId="1" applyFont="1" applyAlignment="1">
      <alignment horizontal="left" vertical="center" indent="1"/>
    </xf>
    <xf numFmtId="0" fontId="56" fillId="0" borderId="65" xfId="1" applyFont="1" applyBorder="1" applyAlignment="1">
      <alignment horizontal="center" vertical="center"/>
    </xf>
    <xf numFmtId="0" fontId="56" fillId="0" borderId="72" xfId="1" applyFont="1" applyBorder="1" applyAlignment="1">
      <alignment horizontal="center" vertical="center"/>
    </xf>
    <xf numFmtId="0" fontId="56" fillId="0" borderId="73" xfId="1" applyFont="1" applyBorder="1" applyAlignment="1">
      <alignment horizontal="center" vertical="center"/>
    </xf>
    <xf numFmtId="0" fontId="56" fillId="0" borderId="74" xfId="1" applyFont="1" applyBorder="1" applyAlignment="1">
      <alignment horizontal="center" vertical="center" wrapText="1"/>
    </xf>
    <xf numFmtId="0" fontId="56" fillId="0" borderId="75" xfId="1" applyFont="1" applyBorder="1" applyAlignment="1">
      <alignment horizontal="center" vertical="center" wrapText="1"/>
    </xf>
    <xf numFmtId="0" fontId="56" fillId="0" borderId="68" xfId="1" applyFont="1" applyBorder="1" applyAlignment="1">
      <alignment horizontal="center" vertical="center"/>
    </xf>
    <xf numFmtId="0" fontId="56" fillId="0" borderId="66" xfId="1" applyFont="1" applyBorder="1" applyAlignment="1">
      <alignment horizontal="center" vertical="center"/>
    </xf>
    <xf numFmtId="0" fontId="56" fillId="0" borderId="69" xfId="1" applyFont="1" applyBorder="1" applyAlignment="1">
      <alignment horizontal="center" vertical="center"/>
    </xf>
    <xf numFmtId="0" fontId="56" fillId="0" borderId="76" xfId="1" applyFont="1" applyBorder="1" applyAlignment="1">
      <alignment horizontal="center" vertical="center" wrapText="1"/>
    </xf>
    <xf numFmtId="0" fontId="56" fillId="0" borderId="70" xfId="1" applyFont="1" applyBorder="1" applyAlignment="1">
      <alignment horizontal="center" vertical="center" wrapText="1"/>
    </xf>
    <xf numFmtId="0" fontId="56" fillId="0" borderId="77" xfId="1" applyFont="1" applyBorder="1" applyAlignment="1">
      <alignment horizontal="center" vertical="center"/>
    </xf>
    <xf numFmtId="0" fontId="56" fillId="0" borderId="78" xfId="1" applyFont="1" applyBorder="1" applyAlignment="1">
      <alignment horizontal="center" vertical="center"/>
    </xf>
    <xf numFmtId="0" fontId="56" fillId="0" borderId="40" xfId="1" applyFont="1" applyBorder="1" applyAlignment="1">
      <alignment horizontal="center" vertical="center"/>
    </xf>
    <xf numFmtId="0" fontId="56" fillId="0" borderId="41" xfId="1" applyFont="1" applyBorder="1" applyAlignment="1">
      <alignment horizontal="center" vertical="center" wrapText="1"/>
    </xf>
    <xf numFmtId="0" fontId="56" fillId="0" borderId="79" xfId="1" applyFont="1" applyBorder="1" applyAlignment="1">
      <alignment horizontal="center" vertical="center" wrapText="1"/>
    </xf>
    <xf numFmtId="0" fontId="57" fillId="46" borderId="58" xfId="1" applyFont="1" applyFill="1" applyBorder="1" applyAlignment="1">
      <alignment horizontal="center" vertical="center"/>
    </xf>
    <xf numFmtId="0" fontId="58" fillId="46" borderId="59" xfId="1" applyFont="1" applyFill="1" applyBorder="1" applyAlignment="1">
      <alignment horizontal="center" vertical="center"/>
    </xf>
    <xf numFmtId="0" fontId="58" fillId="46" borderId="60" xfId="1" applyFont="1" applyFill="1" applyBorder="1" applyAlignment="1">
      <alignment horizontal="center" vertical="center"/>
    </xf>
    <xf numFmtId="0" fontId="58" fillId="46" borderId="61" xfId="1" applyFont="1" applyFill="1" applyBorder="1" applyAlignment="1">
      <alignment horizontal="center" vertical="center"/>
    </xf>
    <xf numFmtId="0" fontId="58" fillId="46" borderId="59" xfId="1" applyFont="1" applyFill="1" applyBorder="1" applyAlignment="1">
      <alignment horizontal="center" vertical="center"/>
    </xf>
    <xf numFmtId="0" fontId="58" fillId="46" borderId="62" xfId="1" applyFont="1" applyFill="1" applyBorder="1" applyAlignment="1">
      <alignment horizontal="center" vertical="center"/>
    </xf>
    <xf numFmtId="0" fontId="59" fillId="0" borderId="4" xfId="1" applyFont="1" applyBorder="1" applyAlignment="1">
      <alignment horizontal="center" vertical="center"/>
    </xf>
    <xf numFmtId="0" fontId="59" fillId="0" borderId="72" xfId="1" applyFont="1" applyBorder="1" applyAlignment="1">
      <alignment horizontal="left" vertical="center" indent="1"/>
    </xf>
    <xf numFmtId="0" fontId="59" fillId="0" borderId="69" xfId="1" applyFont="1" applyBorder="1" applyAlignment="1">
      <alignment horizontal="center" vertical="center"/>
    </xf>
    <xf numFmtId="0" fontId="59" fillId="0" borderId="76" xfId="1" applyFont="1" applyBorder="1" applyAlignment="1">
      <alignment horizontal="left" vertical="center" indent="1"/>
    </xf>
    <xf numFmtId="0" fontId="59" fillId="0" borderId="66" xfId="1" applyFont="1" applyBorder="1" applyAlignment="1">
      <alignment horizontal="center" vertical="center"/>
    </xf>
    <xf numFmtId="0" fontId="59" fillId="0" borderId="76" xfId="1" applyFont="1" applyBorder="1" applyAlignment="1">
      <alignment horizontal="center" vertical="center"/>
    </xf>
    <xf numFmtId="0" fontId="58" fillId="0" borderId="70" xfId="1" applyFont="1" applyBorder="1" applyAlignment="1">
      <alignment horizontal="center" vertical="center"/>
    </xf>
    <xf numFmtId="0" fontId="59" fillId="0" borderId="67" xfId="1" applyFont="1" applyBorder="1" applyAlignment="1">
      <alignment horizontal="center" vertical="center"/>
    </xf>
    <xf numFmtId="0" fontId="59" fillId="0" borderId="30" xfId="1" applyFont="1" applyBorder="1" applyAlignment="1">
      <alignment horizontal="left" vertical="center" indent="1"/>
    </xf>
    <xf numFmtId="0" fontId="59" fillId="0" borderId="29" xfId="1" applyFont="1" applyBorder="1" applyAlignment="1">
      <alignment horizontal="center" vertical="center"/>
    </xf>
    <xf numFmtId="0" fontId="59" fillId="0" borderId="30" xfId="1" applyFont="1" applyBorder="1" applyAlignment="1">
      <alignment horizontal="center" vertical="center"/>
    </xf>
    <xf numFmtId="0" fontId="58" fillId="0" borderId="50" xfId="1" applyFont="1" applyBorder="1" applyAlignment="1">
      <alignment horizontal="center" vertical="center"/>
    </xf>
    <xf numFmtId="0" fontId="59" fillId="0" borderId="33" xfId="1" applyFont="1" applyBorder="1" applyAlignment="1">
      <alignment horizontal="left" vertical="center" indent="1"/>
    </xf>
    <xf numFmtId="0" fontId="59" fillId="0" borderId="56" xfId="1" applyFont="1" applyBorder="1" applyAlignment="1">
      <alignment vertical="center"/>
    </xf>
    <xf numFmtId="0" fontId="59" fillId="0" borderId="32" xfId="1" applyFont="1" applyBorder="1" applyAlignment="1">
      <alignment horizontal="left" vertical="center" indent="1"/>
    </xf>
    <xf numFmtId="0" fontId="59" fillId="0" borderId="33" xfId="1" applyFont="1" applyBorder="1" applyAlignment="1">
      <alignment horizontal="center" vertical="center"/>
    </xf>
    <xf numFmtId="0" fontId="59" fillId="0" borderId="32" xfId="1" applyFont="1" applyBorder="1" applyAlignment="1">
      <alignment horizontal="center" vertical="center"/>
    </xf>
    <xf numFmtId="0" fontId="59" fillId="0" borderId="66" xfId="1" applyFont="1" applyBorder="1" applyAlignment="1">
      <alignment horizontal="left" vertical="center" indent="1"/>
    </xf>
    <xf numFmtId="0" fontId="59" fillId="0" borderId="69" xfId="1" applyFont="1" applyBorder="1" applyAlignment="1">
      <alignment vertical="center"/>
    </xf>
    <xf numFmtId="0" fontId="59" fillId="0" borderId="29" xfId="1" applyFont="1" applyBorder="1" applyAlignment="1">
      <alignment horizontal="center" vertical="center"/>
    </xf>
    <xf numFmtId="0" fontId="58" fillId="0" borderId="35" xfId="1" applyFont="1" applyBorder="1" applyAlignment="1">
      <alignment horizontal="center" vertical="center"/>
    </xf>
    <xf numFmtId="0" fontId="59" fillId="0" borderId="76" xfId="1" applyFont="1" applyBorder="1" applyAlignment="1">
      <alignment horizontal="center" vertical="center"/>
    </xf>
    <xf numFmtId="0" fontId="59" fillId="0" borderId="6" xfId="1" applyFont="1" applyBorder="1" applyAlignment="1">
      <alignment horizontal="center" vertical="center"/>
    </xf>
    <xf numFmtId="0" fontId="59" fillId="0" borderId="31" xfId="1" applyFont="1" applyBorder="1" applyAlignment="1">
      <alignment vertical="center"/>
    </xf>
    <xf numFmtId="0" fontId="59" fillId="0" borderId="29" xfId="1" applyFont="1" applyBorder="1" applyAlignment="1">
      <alignment horizontal="left" vertical="center" indent="1"/>
    </xf>
    <xf numFmtId="0" fontId="59" fillId="0" borderId="38" xfId="1" applyFont="1" applyBorder="1" applyAlignment="1">
      <alignment horizontal="center" vertical="center"/>
    </xf>
    <xf numFmtId="0" fontId="60" fillId="0" borderId="70" xfId="1" applyFont="1" applyBorder="1" applyAlignment="1">
      <alignment horizontal="center" vertical="center"/>
    </xf>
    <xf numFmtId="0" fontId="60" fillId="0" borderId="35" xfId="1" applyFont="1" applyBorder="1" applyAlignment="1">
      <alignment vertical="center" wrapText="1"/>
    </xf>
    <xf numFmtId="0" fontId="60" fillId="0" borderId="70" xfId="1" applyFont="1" applyBorder="1" applyAlignment="1">
      <alignment vertical="center" wrapText="1"/>
    </xf>
    <xf numFmtId="0" fontId="59" fillId="0" borderId="4" xfId="1" applyFont="1" applyBorder="1" applyAlignment="1">
      <alignment vertical="center"/>
    </xf>
    <xf numFmtId="0" fontId="60" fillId="0" borderId="50" xfId="1" applyFont="1" applyBorder="1" applyAlignment="1">
      <alignment vertical="center" wrapText="1"/>
    </xf>
    <xf numFmtId="0" fontId="59" fillId="0" borderId="32" xfId="1" applyFont="1" applyBorder="1" applyAlignment="1">
      <alignment horizontal="center" vertical="center"/>
    </xf>
    <xf numFmtId="0" fontId="60" fillId="0" borderId="35" xfId="1" applyFont="1" applyBorder="1" applyAlignment="1">
      <alignment horizontal="left" vertical="top" wrapText="1" indent="1"/>
    </xf>
    <xf numFmtId="0" fontId="59" fillId="0" borderId="80" xfId="1" applyFont="1" applyBorder="1" applyAlignment="1">
      <alignment horizontal="center" vertical="center"/>
    </xf>
    <xf numFmtId="0" fontId="59" fillId="0" borderId="81" xfId="1" applyFont="1" applyBorder="1" applyAlignment="1">
      <alignment horizontal="left" vertical="center" indent="1"/>
    </xf>
    <xf numFmtId="0" fontId="59" fillId="0" borderId="82" xfId="1" applyFont="1" applyBorder="1" applyAlignment="1">
      <alignment vertical="center"/>
    </xf>
    <xf numFmtId="0" fontId="59" fillId="0" borderId="81" xfId="1" applyFont="1" applyBorder="1" applyAlignment="1">
      <alignment horizontal="center" vertical="center"/>
    </xf>
    <xf numFmtId="0" fontId="59" fillId="0" borderId="83" xfId="1" applyFont="1" applyBorder="1" applyAlignment="1">
      <alignment horizontal="center" vertical="center"/>
    </xf>
    <xf numFmtId="0" fontId="59" fillId="0" borderId="83" xfId="1" applyFont="1" applyBorder="1" applyAlignment="1">
      <alignment horizontal="center" vertical="center"/>
    </xf>
    <xf numFmtId="0" fontId="60" fillId="0" borderId="84" xfId="1" applyFont="1" applyBorder="1" applyAlignment="1">
      <alignment horizontal="left" vertical="top" wrapText="1" indent="1"/>
    </xf>
    <xf numFmtId="0" fontId="59" fillId="0" borderId="0" xfId="1" applyFont="1" applyAlignment="1">
      <alignment horizontal="center" vertical="center"/>
    </xf>
    <xf numFmtId="0" fontId="60" fillId="0" borderId="70" xfId="1" applyFont="1" applyBorder="1" applyAlignment="1">
      <alignment vertical="top" wrapText="1"/>
    </xf>
    <xf numFmtId="0" fontId="60" fillId="0" borderId="35" xfId="1" applyFont="1" applyBorder="1" applyAlignment="1">
      <alignment horizontal="center" vertical="center"/>
    </xf>
    <xf numFmtId="0" fontId="59" fillId="0" borderId="68" xfId="1" applyFont="1" applyBorder="1" applyAlignment="1">
      <alignment horizontal="center" vertical="center"/>
    </xf>
    <xf numFmtId="0" fontId="60" fillId="0" borderId="50" xfId="1" applyFont="1" applyBorder="1" applyAlignment="1">
      <alignment horizontal="center" vertical="center"/>
    </xf>
    <xf numFmtId="0" fontId="59" fillId="0" borderId="24" xfId="1" applyFont="1" applyBorder="1" applyAlignment="1">
      <alignment horizontal="center" vertical="center"/>
    </xf>
    <xf numFmtId="0" fontId="60" fillId="0" borderId="84" xfId="1" applyFont="1" applyBorder="1" applyAlignment="1">
      <alignment vertical="top" wrapText="1"/>
    </xf>
    <xf numFmtId="0" fontId="59" fillId="0" borderId="85" xfId="1" applyFont="1" applyBorder="1" applyAlignment="1">
      <alignment horizontal="left" vertical="center" indent="1"/>
    </xf>
    <xf numFmtId="0" fontId="60" fillId="0" borderId="50" xfId="1" applyFont="1" applyBorder="1" applyAlignment="1">
      <alignment vertical="top" wrapText="1"/>
    </xf>
    <xf numFmtId="0" fontId="60" fillId="0" borderId="70" xfId="1" applyFont="1" applyBorder="1" applyAlignment="1">
      <alignment horizontal="left" vertical="top" wrapText="1" indent="1"/>
    </xf>
    <xf numFmtId="0" fontId="60" fillId="0" borderId="70" xfId="1" applyFont="1" applyBorder="1" applyAlignment="1">
      <alignment horizontal="left" vertical="center" indent="1"/>
    </xf>
    <xf numFmtId="0" fontId="60" fillId="0" borderId="50" xfId="1" applyFont="1" applyBorder="1" applyAlignment="1">
      <alignment horizontal="left" vertical="center" indent="1"/>
    </xf>
    <xf numFmtId="0" fontId="59" fillId="0" borderId="36" xfId="1" applyFont="1" applyBorder="1" applyAlignment="1">
      <alignment horizontal="center" vertical="center"/>
    </xf>
    <xf numFmtId="0" fontId="59" fillId="0" borderId="36" xfId="1" applyFont="1" applyBorder="1" applyAlignment="1">
      <alignment horizontal="left" vertical="center" indent="1"/>
    </xf>
    <xf numFmtId="0" fontId="59" fillId="0" borderId="36" xfId="1" applyFont="1" applyBorder="1" applyAlignment="1">
      <alignment vertical="center"/>
    </xf>
    <xf numFmtId="0" fontId="60" fillId="0" borderId="36" xfId="1" applyFont="1" applyBorder="1" applyAlignment="1">
      <alignment horizontal="left" vertical="center" indent="1"/>
    </xf>
    <xf numFmtId="0" fontId="59" fillId="0" borderId="0" xfId="1" applyFont="1" applyAlignment="1">
      <alignment horizontal="left" vertical="center" indent="1"/>
    </xf>
    <xf numFmtId="0" fontId="59" fillId="0" borderId="0" xfId="1" applyFont="1" applyAlignment="1">
      <alignment vertical="center"/>
    </xf>
    <xf numFmtId="0" fontId="54" fillId="0" borderId="0" xfId="1" applyFont="1" applyAlignment="1">
      <alignment horizontal="center" vertical="center"/>
    </xf>
    <xf numFmtId="0" fontId="60" fillId="0" borderId="0" xfId="1" applyFont="1" applyAlignment="1">
      <alignment horizontal="left" vertical="center" indent="1"/>
    </xf>
    <xf numFmtId="0" fontId="59" fillId="0" borderId="34" xfId="1" applyFont="1" applyBorder="1" applyAlignment="1">
      <alignment horizontal="center" vertical="center"/>
    </xf>
    <xf numFmtId="0" fontId="59" fillId="47" borderId="33" xfId="1" applyFont="1" applyFill="1" applyBorder="1" applyAlignment="1">
      <alignment horizontal="left" vertical="center" indent="1"/>
    </xf>
    <xf numFmtId="0" fontId="59" fillId="47" borderId="36" xfId="1" applyFont="1" applyFill="1" applyBorder="1" applyAlignment="1">
      <alignment vertical="center"/>
    </xf>
    <xf numFmtId="0" fontId="59" fillId="47" borderId="32" xfId="1" applyFont="1" applyFill="1" applyBorder="1" applyAlignment="1">
      <alignment horizontal="left" vertical="center" indent="1"/>
    </xf>
    <xf numFmtId="0" fontId="59" fillId="47" borderId="66" xfId="1" applyFont="1" applyFill="1" applyBorder="1" applyAlignment="1">
      <alignment horizontal="left" vertical="center" indent="1"/>
    </xf>
    <xf numFmtId="0" fontId="59" fillId="47" borderId="0" xfId="1" applyFont="1" applyFill="1" applyAlignment="1">
      <alignment horizontal="left" vertical="center" indent="1"/>
    </xf>
    <xf numFmtId="0" fontId="60" fillId="0" borderId="35" xfId="1" applyFont="1" applyBorder="1" applyAlignment="1">
      <alignment vertical="top" wrapText="1"/>
    </xf>
    <xf numFmtId="0" fontId="59" fillId="0" borderId="7" xfId="1" applyFont="1" applyBorder="1" applyAlignment="1">
      <alignment horizontal="left" vertical="center" indent="1"/>
    </xf>
    <xf numFmtId="0" fontId="59" fillId="0" borderId="7" xfId="1" applyFont="1" applyBorder="1" applyAlignment="1">
      <alignment vertical="center"/>
    </xf>
    <xf numFmtId="0" fontId="59" fillId="0" borderId="7" xfId="1" applyFont="1" applyBorder="1" applyAlignment="1">
      <alignment horizontal="center" vertical="center"/>
    </xf>
    <xf numFmtId="0" fontId="60" fillId="0" borderId="50" xfId="1" applyFont="1" applyBorder="1" applyAlignment="1">
      <alignment horizontal="left" vertical="top" wrapText="1" indent="1"/>
    </xf>
    <xf numFmtId="0" fontId="61" fillId="0" borderId="0" xfId="1" applyFont="1" applyAlignment="1">
      <alignment vertical="center"/>
    </xf>
    <xf numFmtId="0" fontId="60" fillId="0" borderId="70" xfId="1" applyFont="1" applyBorder="1" applyAlignment="1">
      <alignment horizontal="left" vertical="top" wrapText="1" indent="1"/>
    </xf>
    <xf numFmtId="0" fontId="60" fillId="0" borderId="50" xfId="1" applyFont="1" applyBorder="1" applyAlignment="1">
      <alignment horizontal="left" vertical="top" wrapText="1" indent="1"/>
    </xf>
    <xf numFmtId="0" fontId="60" fillId="0" borderId="35" xfId="1" applyFont="1" applyBorder="1" applyAlignment="1">
      <alignment horizontal="left" vertical="center" wrapText="1" indent="1"/>
    </xf>
    <xf numFmtId="0" fontId="60" fillId="0" borderId="70" xfId="1" applyFont="1" applyBorder="1" applyAlignment="1">
      <alignment horizontal="left" vertical="center" wrapText="1" indent="1"/>
    </xf>
    <xf numFmtId="0" fontId="60" fillId="0" borderId="50" xfId="1" applyFont="1" applyBorder="1" applyAlignment="1">
      <alignment horizontal="left" vertical="center" wrapText="1" indent="1"/>
    </xf>
    <xf numFmtId="0" fontId="60" fillId="0" borderId="36" xfId="1" applyFont="1" applyBorder="1" applyAlignment="1">
      <alignment horizontal="left" vertical="top" wrapText="1" indent="1"/>
    </xf>
    <xf numFmtId="0" fontId="60" fillId="0" borderId="0" xfId="1" applyFont="1" applyAlignment="1">
      <alignment horizontal="left" vertical="top" wrapText="1" indent="1"/>
    </xf>
    <xf numFmtId="0" fontId="60" fillId="0" borderId="35" xfId="1" applyFont="1" applyBorder="1" applyAlignment="1">
      <alignment horizontal="left" vertical="center" wrapText="1" indent="1"/>
    </xf>
    <xf numFmtId="0" fontId="60" fillId="0" borderId="70" xfId="1" applyFont="1" applyBorder="1" applyAlignment="1">
      <alignment horizontal="left" vertical="center" wrapText="1" indent="1"/>
    </xf>
    <xf numFmtId="0" fontId="61" fillId="0" borderId="0" xfId="1" applyFont="1" applyAlignment="1">
      <alignment horizontal="left" vertical="center" indent="1"/>
    </xf>
    <xf numFmtId="0" fontId="61" fillId="0" borderId="66" xfId="1" applyFont="1" applyBorder="1" applyAlignment="1">
      <alignment horizontal="left" vertical="center" indent="1"/>
    </xf>
    <xf numFmtId="0" fontId="60" fillId="0" borderId="50" xfId="1" applyFont="1" applyBorder="1" applyAlignment="1">
      <alignment horizontal="left" vertical="center" wrapText="1" indent="1"/>
    </xf>
    <xf numFmtId="0" fontId="60" fillId="0" borderId="63" xfId="1" applyFont="1" applyBorder="1" applyAlignment="1">
      <alignment vertical="center"/>
    </xf>
    <xf numFmtId="0" fontId="60" fillId="0" borderId="57" xfId="1" applyFont="1" applyBorder="1" applyAlignment="1">
      <alignment vertical="center"/>
    </xf>
    <xf numFmtId="0" fontId="59" fillId="0" borderId="63" xfId="1" applyFont="1" applyBorder="1" applyAlignment="1">
      <alignment vertical="center"/>
    </xf>
    <xf numFmtId="0" fontId="59" fillId="0" borderId="68" xfId="1" applyFont="1" applyBorder="1" applyAlignment="1">
      <alignment vertical="center"/>
    </xf>
    <xf numFmtId="0" fontId="59" fillId="0" borderId="76" xfId="1" applyFont="1" applyBorder="1" applyAlignment="1">
      <alignment vertical="center"/>
    </xf>
    <xf numFmtId="0" fontId="59" fillId="0" borderId="70" xfId="1" applyFont="1" applyBorder="1" applyAlignment="1">
      <alignment vertical="center"/>
    </xf>
    <xf numFmtId="0" fontId="59" fillId="0" borderId="57" xfId="1" applyFont="1" applyBorder="1" applyAlignment="1">
      <alignment vertical="center"/>
    </xf>
    <xf numFmtId="0" fontId="59" fillId="0" borderId="67" xfId="1" applyFont="1" applyBorder="1" applyAlignment="1">
      <alignment vertical="center"/>
    </xf>
    <xf numFmtId="0" fontId="59" fillId="0" borderId="29" xfId="1" applyFont="1" applyBorder="1" applyAlignment="1">
      <alignment vertical="center"/>
    </xf>
    <xf numFmtId="0" fontId="59" fillId="0" borderId="8" xfId="1" applyFont="1" applyBorder="1" applyAlignment="1">
      <alignment vertical="center"/>
    </xf>
    <xf numFmtId="0" fontId="57" fillId="0" borderId="0" xfId="1" applyFont="1" applyAlignment="1">
      <alignment horizontal="left" vertical="center" indent="1"/>
    </xf>
    <xf numFmtId="0" fontId="59" fillId="0" borderId="77" xfId="1" applyFont="1" applyBorder="1" applyAlignment="1">
      <alignment horizontal="center" vertical="center"/>
    </xf>
    <xf numFmtId="0" fontId="59" fillId="0" borderId="78" xfId="1" applyFont="1" applyBorder="1" applyAlignment="1">
      <alignment horizontal="left" vertical="center" indent="1"/>
    </xf>
    <xf numFmtId="0" fontId="59" fillId="0" borderId="42" xfId="1" applyFont="1" applyBorder="1" applyAlignment="1">
      <alignment vertical="center"/>
    </xf>
    <xf numFmtId="0" fontId="59" fillId="0" borderId="41" xfId="1" applyFont="1" applyBorder="1" applyAlignment="1">
      <alignment horizontal="left" vertical="center" indent="1"/>
    </xf>
    <xf numFmtId="0" fontId="59" fillId="0" borderId="41" xfId="1" applyFont="1" applyBorder="1" applyAlignment="1">
      <alignment horizontal="center" vertical="center"/>
    </xf>
    <xf numFmtId="0" fontId="59" fillId="0" borderId="41" xfId="1" applyFont="1" applyBorder="1" applyAlignment="1">
      <alignment horizontal="center" vertical="center"/>
    </xf>
    <xf numFmtId="0" fontId="60" fillId="0" borderId="64" xfId="1" applyFont="1" applyBorder="1" applyAlignment="1">
      <alignment vertical="top" wrapText="1"/>
    </xf>
    <xf numFmtId="0" fontId="60" fillId="0" borderId="0" xfId="1" applyFont="1" applyAlignment="1">
      <alignment horizontal="center" vertical="center"/>
    </xf>
    <xf numFmtId="0" fontId="60" fillId="0" borderId="0" xfId="1" applyFont="1" applyAlignment="1">
      <alignment vertical="center"/>
    </xf>
    <xf numFmtId="0" fontId="58" fillId="0" borderId="0" xfId="1" applyFont="1" applyAlignment="1">
      <alignment vertical="center"/>
    </xf>
    <xf numFmtId="0" fontId="62" fillId="0" borderId="0" xfId="1" applyFont="1" applyAlignment="1">
      <alignment vertical="center"/>
    </xf>
    <xf numFmtId="0" fontId="63" fillId="0" borderId="0" xfId="1" applyFont="1" applyAlignment="1">
      <alignment vertical="center"/>
    </xf>
  </cellXfs>
  <cellStyles count="2">
    <cellStyle name="Normal" xfId="0" builtinId="0"/>
    <cellStyle name="Normal 2" xfId="1" xr:uid="{F843DEE4-ED2E-4968-96EA-F5DD85E16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66675</xdr:rowOff>
    </xdr:from>
    <xdr:to>
      <xdr:col>2</xdr:col>
      <xdr:colOff>552450</xdr:colOff>
      <xdr:row>3</xdr:row>
      <xdr:rowOff>141730</xdr:rowOff>
    </xdr:to>
    <xdr:pic>
      <xdr:nvPicPr>
        <xdr:cNvPr id="2" name="Picture 1" descr="C:\Users\HP\Downloads\Logo Provinsi Kalimantan Timur.JPG">
          <a:extLst>
            <a:ext uri="{FF2B5EF4-FFF2-40B4-BE49-F238E27FC236}">
              <a16:creationId xmlns:a16="http://schemas.microsoft.com/office/drawing/2014/main" id="{57E54B16-9D7D-4265-96F8-F975E6C1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91" t="7941" r="27284" b="7930"/>
        <a:stretch>
          <a:fillRect/>
        </a:stretch>
      </xdr:blipFill>
      <xdr:spPr bwMode="auto">
        <a:xfrm>
          <a:off x="654698" y="66675"/>
          <a:ext cx="799711" cy="84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393347</xdr:colOff>
      <xdr:row>0</xdr:row>
      <xdr:rowOff>81262</xdr:rowOff>
    </xdr:from>
    <xdr:to>
      <xdr:col>7</xdr:col>
      <xdr:colOff>37864</xdr:colOff>
      <xdr:row>3</xdr:row>
      <xdr:rowOff>176342</xdr:rowOff>
    </xdr:to>
    <xdr:pic>
      <xdr:nvPicPr>
        <xdr:cNvPr id="3" name="Picture 222">
          <a:extLst>
            <a:ext uri="{FF2B5EF4-FFF2-40B4-BE49-F238E27FC236}">
              <a16:creationId xmlns:a16="http://schemas.microsoft.com/office/drawing/2014/main" id="{4F9FB777-BFB7-4E93-A00B-EE5FE3D9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82" y="81262"/>
          <a:ext cx="795292" cy="866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285066</xdr:colOff>
      <xdr:row>146</xdr:row>
      <xdr:rowOff>82374</xdr:rowOff>
    </xdr:from>
    <xdr:to>
      <xdr:col>23</xdr:col>
      <xdr:colOff>297508</xdr:colOff>
      <xdr:row>149</xdr:row>
      <xdr:rowOff>181662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1D792-4789-4E0F-AD06-36E1B9780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CFCED4"/>
            </a:clrFrom>
            <a:clrTo>
              <a:srgbClr val="CFCED4">
                <a:alpha val="0"/>
              </a:srgbClr>
            </a:clrTo>
          </a:clrChange>
          <a:duotone>
            <a:schemeClr val="accent5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7450976" y="34549656"/>
          <a:ext cx="1094793" cy="6964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195660</xdr:colOff>
      <xdr:row>145</xdr:row>
      <xdr:rowOff>36192</xdr:rowOff>
    </xdr:from>
    <xdr:to>
      <xdr:col>6</xdr:col>
      <xdr:colOff>236376</xdr:colOff>
      <xdr:row>150</xdr:row>
      <xdr:rowOff>80530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A877AFEC-9DB6-44B1-A8A2-4EC77CAE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9" t="3683" r="5074" b="3487"/>
        <a:stretch>
          <a:fillRect/>
        </a:stretch>
      </xdr:blipFill>
      <xdr:spPr bwMode="auto">
        <a:xfrm>
          <a:off x="1190925" y="34304421"/>
          <a:ext cx="1160390" cy="1039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C22D-3CB6-400D-BD2A-AEA6041E98A0}">
  <dimension ref="A1:I217"/>
  <sheetViews>
    <sheetView tabSelected="1" topLeftCell="A105" zoomScale="115" zoomScaleNormal="115" zoomScaleSheetLayoutView="100" zoomScalePageLayoutView="132" workbookViewId="0">
      <selection activeCell="D19" sqref="D19"/>
    </sheetView>
  </sheetViews>
  <sheetFormatPr defaultColWidth="9.1796875" defaultRowHeight="12.25"/>
  <cols>
    <col min="1" max="1" width="4" style="341" customWidth="1"/>
    <col min="2" max="2" width="9.1796875" style="341" bestFit="1" customWidth="1"/>
    <col min="3" max="3" width="26.453125" style="341" customWidth="1"/>
    <col min="4" max="4" width="61.7265625" style="311" customWidth="1"/>
    <col min="5" max="5" width="8.81640625" style="341" customWidth="1"/>
    <col min="6" max="6" width="9.26953125" style="341" customWidth="1"/>
    <col min="7" max="7" width="7.54296875" style="341" customWidth="1"/>
    <col min="8" max="8" width="13.453125" style="341" customWidth="1"/>
    <col min="9" max="16384" width="9.1796875" style="341"/>
  </cols>
  <sheetData>
    <row r="1" spans="1:9" ht="18.149999999999999">
      <c r="A1" s="469" t="s">
        <v>207</v>
      </c>
      <c r="B1" s="469"/>
      <c r="C1" s="469"/>
      <c r="D1" s="469"/>
      <c r="E1" s="469"/>
      <c r="F1" s="469"/>
      <c r="G1" s="469"/>
      <c r="H1" s="469"/>
      <c r="I1" s="470"/>
    </row>
    <row r="2" spans="1:9" ht="18.149999999999999">
      <c r="A2" s="469" t="s">
        <v>208</v>
      </c>
      <c r="B2" s="469"/>
      <c r="C2" s="469"/>
      <c r="D2" s="469"/>
      <c r="E2" s="469"/>
      <c r="F2" s="469"/>
      <c r="G2" s="469"/>
      <c r="H2" s="469"/>
      <c r="I2" s="470"/>
    </row>
    <row r="3" spans="1:9" ht="24.5">
      <c r="A3" s="471" t="s">
        <v>1</v>
      </c>
      <c r="B3" s="471"/>
      <c r="C3" s="471"/>
      <c r="D3" s="471"/>
      <c r="E3" s="471"/>
      <c r="F3" s="471"/>
      <c r="G3" s="471"/>
      <c r="H3" s="471"/>
      <c r="I3" s="472"/>
    </row>
    <row r="4" spans="1:9" ht="26" customHeight="1">
      <c r="A4" s="473" t="s">
        <v>209</v>
      </c>
      <c r="B4" s="473"/>
      <c r="C4" s="473"/>
      <c r="D4" s="473"/>
      <c r="E4" s="473"/>
      <c r="F4" s="473"/>
      <c r="G4" s="473"/>
      <c r="H4" s="473"/>
      <c r="I4" s="474"/>
    </row>
    <row r="5" spans="1:9" ht="15.7" thickBot="1">
      <c r="A5" s="475" t="s">
        <v>210</v>
      </c>
      <c r="B5" s="475"/>
      <c r="C5" s="475"/>
      <c r="D5" s="475"/>
      <c r="E5" s="475"/>
      <c r="F5" s="475"/>
      <c r="G5" s="475"/>
      <c r="H5" s="475"/>
      <c r="I5" s="476"/>
    </row>
    <row r="6" spans="1:9" ht="7.5" customHeight="1" thickTop="1"/>
    <row r="7" spans="1:9" ht="15.2">
      <c r="A7" s="477" t="s">
        <v>211</v>
      </c>
      <c r="B7" s="478"/>
      <c r="C7" s="477" t="s">
        <v>212</v>
      </c>
      <c r="D7" s="479"/>
      <c r="E7" s="480"/>
      <c r="F7" s="480"/>
      <c r="G7" s="480"/>
    </row>
    <row r="8" spans="1:9" ht="15.2">
      <c r="A8" s="477"/>
      <c r="B8" s="478"/>
      <c r="C8" s="481" t="s">
        <v>213</v>
      </c>
      <c r="D8" s="482"/>
      <c r="E8" s="480"/>
      <c r="F8" s="480"/>
      <c r="G8" s="256"/>
    </row>
    <row r="9" spans="1:9" ht="15.2">
      <c r="A9" s="477"/>
      <c r="B9" s="478"/>
      <c r="C9" s="477"/>
      <c r="D9" s="479"/>
      <c r="E9" s="480"/>
      <c r="F9" s="480"/>
      <c r="G9" s="256"/>
    </row>
    <row r="10" spans="1:9" ht="19.100000000000001">
      <c r="A10" s="483" t="s">
        <v>214</v>
      </c>
      <c r="B10" s="483"/>
      <c r="C10" s="483"/>
      <c r="D10" s="483"/>
      <c r="E10" s="483"/>
      <c r="F10" s="483"/>
      <c r="G10" s="483"/>
      <c r="H10" s="483"/>
    </row>
    <row r="11" spans="1:9" ht="16.2" thickBot="1">
      <c r="A11" s="484"/>
      <c r="B11" s="485"/>
      <c r="C11" s="484"/>
      <c r="D11" s="486"/>
      <c r="E11" s="480"/>
      <c r="F11" s="480"/>
      <c r="G11" s="256"/>
    </row>
    <row r="12" spans="1:9" ht="16.55" customHeight="1" thickTop="1">
      <c r="A12" s="487" t="s">
        <v>215</v>
      </c>
      <c r="B12" s="488" t="s">
        <v>216</v>
      </c>
      <c r="C12" s="489"/>
      <c r="D12" s="490" t="s">
        <v>217</v>
      </c>
      <c r="E12" s="490" t="s">
        <v>218</v>
      </c>
      <c r="F12" s="490" t="s">
        <v>219</v>
      </c>
      <c r="G12" s="490" t="s">
        <v>220</v>
      </c>
      <c r="H12" s="491" t="s">
        <v>221</v>
      </c>
    </row>
    <row r="13" spans="1:9">
      <c r="A13" s="492"/>
      <c r="B13" s="493"/>
      <c r="C13" s="494"/>
      <c r="D13" s="495"/>
      <c r="E13" s="495"/>
      <c r="F13" s="495"/>
      <c r="G13" s="495"/>
      <c r="H13" s="496"/>
    </row>
    <row r="14" spans="1:9" ht="11.3" customHeight="1" thickBot="1">
      <c r="A14" s="497"/>
      <c r="B14" s="498"/>
      <c r="C14" s="499"/>
      <c r="D14" s="500"/>
      <c r="E14" s="500"/>
      <c r="F14" s="500"/>
      <c r="G14" s="500"/>
      <c r="H14" s="501"/>
    </row>
    <row r="15" spans="1:9" ht="16.649999999999999" thickTop="1" thickBot="1">
      <c r="A15" s="502">
        <v>1</v>
      </c>
      <c r="B15" s="503">
        <v>2</v>
      </c>
      <c r="C15" s="504"/>
      <c r="D15" s="505">
        <v>3</v>
      </c>
      <c r="E15" s="506">
        <v>4</v>
      </c>
      <c r="F15" s="506">
        <v>5</v>
      </c>
      <c r="G15" s="505">
        <v>6</v>
      </c>
      <c r="H15" s="507">
        <v>8</v>
      </c>
    </row>
    <row r="16" spans="1:9" ht="17.649999999999999" thickTop="1">
      <c r="A16" s="508">
        <v>1</v>
      </c>
      <c r="B16" s="509" t="s">
        <v>222</v>
      </c>
      <c r="C16" s="510"/>
      <c r="D16" s="511" t="s">
        <v>223</v>
      </c>
      <c r="E16" s="512"/>
      <c r="F16" s="512">
        <v>18</v>
      </c>
      <c r="G16" s="513"/>
      <c r="H16" s="514"/>
    </row>
    <row r="17" spans="1:8" ht="17.149999999999999">
      <c r="A17" s="515"/>
      <c r="B17" s="516" t="s">
        <v>224</v>
      </c>
      <c r="C17" s="510"/>
      <c r="D17" s="517"/>
      <c r="E17" s="518"/>
      <c r="F17" s="517"/>
      <c r="G17" s="513"/>
      <c r="H17" s="519"/>
    </row>
    <row r="18" spans="1:8" ht="17.149999999999999">
      <c r="A18" s="508">
        <v>2</v>
      </c>
      <c r="B18" s="520" t="s">
        <v>225</v>
      </c>
      <c r="C18" s="521"/>
      <c r="D18" s="522" t="s">
        <v>226</v>
      </c>
      <c r="E18" s="523">
        <v>7</v>
      </c>
      <c r="F18" s="523">
        <v>28</v>
      </c>
      <c r="G18" s="524">
        <f>SUM(F18:F19)</f>
        <v>40</v>
      </c>
      <c r="H18" s="514"/>
    </row>
    <row r="19" spans="1:8" ht="17.149999999999999">
      <c r="A19" s="515"/>
      <c r="B19" s="525" t="s">
        <v>227</v>
      </c>
      <c r="C19" s="526"/>
      <c r="D19" s="511" t="s">
        <v>228</v>
      </c>
      <c r="E19" s="512"/>
      <c r="F19" s="512">
        <v>12</v>
      </c>
      <c r="G19" s="527"/>
      <c r="H19" s="514"/>
    </row>
    <row r="20" spans="1:8" ht="17.149999999999999">
      <c r="A20" s="508">
        <v>3</v>
      </c>
      <c r="B20" s="520" t="s">
        <v>229</v>
      </c>
      <c r="C20" s="521"/>
      <c r="D20" s="522" t="s">
        <v>230</v>
      </c>
      <c r="E20" s="523">
        <v>4</v>
      </c>
      <c r="F20" s="523">
        <v>20</v>
      </c>
      <c r="G20" s="524">
        <f>SUM(F20:F21)</f>
        <v>32</v>
      </c>
      <c r="H20" s="528"/>
    </row>
    <row r="21" spans="1:8" ht="17.149999999999999">
      <c r="A21" s="508"/>
      <c r="B21" s="525" t="s">
        <v>231</v>
      </c>
      <c r="C21" s="526"/>
      <c r="D21" s="511" t="s">
        <v>232</v>
      </c>
      <c r="E21" s="512"/>
      <c r="F21" s="512">
        <v>12</v>
      </c>
      <c r="G21" s="529"/>
      <c r="H21" s="514"/>
    </row>
    <row r="22" spans="1:8" ht="17.149999999999999">
      <c r="A22" s="530"/>
      <c r="B22" s="516"/>
      <c r="C22" s="531"/>
      <c r="D22" s="532" t="s">
        <v>233</v>
      </c>
      <c r="E22" s="518"/>
      <c r="F22" s="517"/>
      <c r="G22" s="517"/>
      <c r="H22" s="519"/>
    </row>
    <row r="23" spans="1:8" ht="17.149999999999999">
      <c r="A23" s="508">
        <v>4</v>
      </c>
      <c r="B23" s="520" t="s">
        <v>234</v>
      </c>
      <c r="C23" s="521"/>
      <c r="D23" s="522" t="s">
        <v>235</v>
      </c>
      <c r="E23" s="523">
        <v>7</v>
      </c>
      <c r="F23" s="523">
        <v>21</v>
      </c>
      <c r="G23" s="524">
        <f>F23+F24</f>
        <v>33</v>
      </c>
      <c r="H23" s="514"/>
    </row>
    <row r="24" spans="1:8" ht="17.149999999999999">
      <c r="A24" s="508"/>
      <c r="B24" s="525" t="s">
        <v>236</v>
      </c>
      <c r="C24" s="526"/>
      <c r="D24" s="511" t="s">
        <v>237</v>
      </c>
      <c r="E24" s="512"/>
      <c r="F24" s="512">
        <v>12</v>
      </c>
      <c r="G24" s="529"/>
      <c r="H24" s="514"/>
    </row>
    <row r="25" spans="1:8" ht="17.149999999999999">
      <c r="A25" s="515"/>
      <c r="B25" s="525"/>
      <c r="C25" s="526"/>
      <c r="D25" s="532" t="s">
        <v>238</v>
      </c>
      <c r="E25" s="518"/>
      <c r="F25" s="518"/>
      <c r="G25" s="517"/>
      <c r="H25" s="519"/>
    </row>
    <row r="26" spans="1:8" ht="17.149999999999999">
      <c r="A26" s="508">
        <v>5</v>
      </c>
      <c r="B26" s="520" t="s">
        <v>239</v>
      </c>
      <c r="C26" s="521"/>
      <c r="D26" s="522" t="s">
        <v>240</v>
      </c>
      <c r="E26" s="523">
        <v>8</v>
      </c>
      <c r="F26" s="523">
        <v>26</v>
      </c>
      <c r="G26" s="524">
        <f>F26+F27+F28</f>
        <v>40</v>
      </c>
      <c r="H26" s="514"/>
    </row>
    <row r="27" spans="1:8" ht="17.149999999999999">
      <c r="A27" s="508"/>
      <c r="B27" s="525" t="s">
        <v>241</v>
      </c>
      <c r="C27" s="526"/>
      <c r="D27" s="511" t="s">
        <v>242</v>
      </c>
      <c r="E27" s="512"/>
      <c r="F27" s="512">
        <v>12</v>
      </c>
      <c r="G27" s="529"/>
      <c r="H27" s="514"/>
    </row>
    <row r="28" spans="1:8" ht="17.149999999999999">
      <c r="A28" s="508"/>
      <c r="B28" s="525"/>
      <c r="C28" s="526"/>
      <c r="D28" s="511" t="s">
        <v>243</v>
      </c>
      <c r="E28" s="512"/>
      <c r="F28" s="512">
        <v>2</v>
      </c>
      <c r="G28" s="529"/>
      <c r="H28" s="514"/>
    </row>
    <row r="29" spans="1:8" ht="17.149999999999999">
      <c r="A29" s="508"/>
      <c r="B29" s="525"/>
      <c r="C29" s="526"/>
      <c r="D29" s="532" t="s">
        <v>244</v>
      </c>
      <c r="E29" s="518"/>
      <c r="F29" s="518"/>
      <c r="G29" s="517"/>
      <c r="H29" s="519"/>
    </row>
    <row r="30" spans="1:8" ht="17.149999999999999">
      <c r="A30" s="533">
        <v>6</v>
      </c>
      <c r="B30" s="520" t="s">
        <v>245</v>
      </c>
      <c r="C30" s="521"/>
      <c r="D30" s="511" t="s">
        <v>246</v>
      </c>
      <c r="E30" s="512">
        <v>7</v>
      </c>
      <c r="F30" s="512">
        <v>28</v>
      </c>
      <c r="G30" s="524">
        <f>SUM(F30:F32)</f>
        <v>31</v>
      </c>
      <c r="H30" s="534"/>
    </row>
    <row r="31" spans="1:8" ht="17.149999999999999">
      <c r="A31" s="508"/>
      <c r="B31" s="525" t="s">
        <v>247</v>
      </c>
      <c r="C31" s="526"/>
      <c r="D31" s="511" t="s">
        <v>248</v>
      </c>
      <c r="E31" s="512">
        <v>1</v>
      </c>
      <c r="F31" s="512">
        <v>2</v>
      </c>
      <c r="G31" s="529"/>
      <c r="H31" s="534"/>
    </row>
    <row r="32" spans="1:8" ht="17.149999999999999">
      <c r="A32" s="508"/>
      <c r="B32" s="525"/>
      <c r="C32" s="526"/>
      <c r="D32" s="511" t="s">
        <v>249</v>
      </c>
      <c r="E32" s="512"/>
      <c r="F32" s="512">
        <v>1</v>
      </c>
      <c r="G32" s="527"/>
      <c r="H32" s="534"/>
    </row>
    <row r="33" spans="1:8" ht="17.149999999999999">
      <c r="A33" s="533">
        <v>7</v>
      </c>
      <c r="B33" s="520" t="s">
        <v>250</v>
      </c>
      <c r="C33" s="521"/>
      <c r="D33" s="522" t="s">
        <v>251</v>
      </c>
      <c r="E33" s="523">
        <v>14</v>
      </c>
      <c r="F33" s="523">
        <v>48</v>
      </c>
      <c r="G33" s="524">
        <f>SUM(F33:F38)</f>
        <v>69</v>
      </c>
      <c r="H33" s="535"/>
    </row>
    <row r="34" spans="1:8" ht="17.149999999999999">
      <c r="A34" s="508"/>
      <c r="B34" s="525" t="s">
        <v>252</v>
      </c>
      <c r="C34" s="526"/>
      <c r="D34" s="511" t="s">
        <v>253</v>
      </c>
      <c r="E34" s="512">
        <v>8</v>
      </c>
      <c r="F34" s="512">
        <v>16</v>
      </c>
      <c r="G34" s="529"/>
      <c r="H34" s="536"/>
    </row>
    <row r="35" spans="1:8" ht="17.149999999999999">
      <c r="A35" s="537"/>
      <c r="B35" s="525"/>
      <c r="C35" s="526"/>
      <c r="D35" s="511" t="s">
        <v>254</v>
      </c>
      <c r="E35" s="512"/>
      <c r="F35" s="512">
        <v>2</v>
      </c>
      <c r="G35" s="529"/>
      <c r="H35" s="536"/>
    </row>
    <row r="36" spans="1:8" ht="17.149999999999999">
      <c r="A36" s="508"/>
      <c r="B36" s="525"/>
      <c r="C36" s="526"/>
      <c r="D36" s="511" t="s">
        <v>255</v>
      </c>
      <c r="E36" s="512"/>
      <c r="F36" s="512">
        <v>2</v>
      </c>
      <c r="G36" s="529"/>
      <c r="H36" s="536"/>
    </row>
    <row r="37" spans="1:8" ht="17.149999999999999">
      <c r="A37" s="508"/>
      <c r="B37" s="525"/>
      <c r="C37" s="526"/>
      <c r="D37" s="511" t="s">
        <v>256</v>
      </c>
      <c r="E37" s="512"/>
      <c r="F37" s="512"/>
      <c r="G37" s="529"/>
      <c r="H37" s="536"/>
    </row>
    <row r="38" spans="1:8" ht="17.149999999999999">
      <c r="A38" s="530"/>
      <c r="B38" s="516"/>
      <c r="C38" s="531"/>
      <c r="D38" s="532" t="s">
        <v>257</v>
      </c>
      <c r="E38" s="518"/>
      <c r="F38" s="518">
        <v>1</v>
      </c>
      <c r="G38" s="527"/>
      <c r="H38" s="538"/>
    </row>
    <row r="39" spans="1:8" ht="16.55" customHeight="1">
      <c r="A39" s="533">
        <v>8</v>
      </c>
      <c r="B39" s="520" t="s">
        <v>258</v>
      </c>
      <c r="C39" s="521"/>
      <c r="D39" s="522"/>
      <c r="E39" s="523"/>
      <c r="F39" s="539"/>
      <c r="G39" s="524"/>
      <c r="H39" s="540" t="s">
        <v>259</v>
      </c>
    </row>
    <row r="40" spans="1:8" ht="17.149999999999999">
      <c r="A40" s="541"/>
      <c r="B40" s="542" t="s">
        <v>260</v>
      </c>
      <c r="C40" s="543"/>
      <c r="D40" s="542"/>
      <c r="E40" s="544"/>
      <c r="F40" s="545"/>
      <c r="G40" s="546"/>
      <c r="H40" s="547"/>
    </row>
    <row r="41" spans="1:8" ht="16.55" customHeight="1">
      <c r="A41" s="508">
        <v>9</v>
      </c>
      <c r="B41" s="525" t="s">
        <v>261</v>
      </c>
      <c r="C41" s="510"/>
      <c r="D41" s="525" t="s">
        <v>262</v>
      </c>
      <c r="E41" s="513">
        <v>8</v>
      </c>
      <c r="F41" s="548">
        <v>32</v>
      </c>
      <c r="G41" s="529">
        <f>SUM(F41:F44)</f>
        <v>35</v>
      </c>
      <c r="H41" s="549"/>
    </row>
    <row r="42" spans="1:8" ht="17.149999999999999">
      <c r="A42" s="508"/>
      <c r="B42" s="525" t="s">
        <v>263</v>
      </c>
      <c r="C42" s="510"/>
      <c r="D42" s="511" t="s">
        <v>264</v>
      </c>
      <c r="E42" s="513"/>
      <c r="F42" s="548">
        <v>2</v>
      </c>
      <c r="G42" s="529"/>
      <c r="H42" s="549"/>
    </row>
    <row r="43" spans="1:8" ht="17.149999999999999">
      <c r="A43" s="508"/>
      <c r="B43" s="525"/>
      <c r="C43" s="510"/>
      <c r="D43" s="511" t="s">
        <v>265</v>
      </c>
      <c r="E43" s="513"/>
      <c r="F43" s="548"/>
      <c r="G43" s="529"/>
      <c r="H43" s="549"/>
    </row>
    <row r="44" spans="1:8" ht="17.149999999999999">
      <c r="A44" s="508"/>
      <c r="B44" s="525"/>
      <c r="C44" s="510"/>
      <c r="D44" s="511" t="s">
        <v>266</v>
      </c>
      <c r="E44" s="513"/>
      <c r="F44" s="548">
        <v>1</v>
      </c>
      <c r="G44" s="527"/>
      <c r="H44" s="549"/>
    </row>
    <row r="45" spans="1:8" ht="17.149999999999999">
      <c r="A45" s="533">
        <v>10</v>
      </c>
      <c r="B45" s="520" t="s">
        <v>267</v>
      </c>
      <c r="C45" s="521"/>
      <c r="D45" s="522" t="s">
        <v>268</v>
      </c>
      <c r="E45" s="523">
        <v>7</v>
      </c>
      <c r="F45" s="539">
        <v>21</v>
      </c>
      <c r="G45" s="524">
        <f>SUM(F45:F48)</f>
        <v>26</v>
      </c>
      <c r="H45" s="550"/>
    </row>
    <row r="46" spans="1:8" ht="17.149999999999999">
      <c r="A46" s="508"/>
      <c r="B46" s="525" t="s">
        <v>269</v>
      </c>
      <c r="C46" s="526"/>
      <c r="D46" s="511" t="s">
        <v>270</v>
      </c>
      <c r="E46" s="512"/>
      <c r="F46" s="512">
        <v>2</v>
      </c>
      <c r="G46" s="529"/>
      <c r="H46" s="534"/>
    </row>
    <row r="47" spans="1:8" ht="17.149999999999999">
      <c r="A47" s="508"/>
      <c r="B47" s="525"/>
      <c r="C47" s="526"/>
      <c r="D47" s="511" t="s">
        <v>271</v>
      </c>
      <c r="E47" s="512"/>
      <c r="F47" s="512">
        <v>2</v>
      </c>
      <c r="G47" s="529"/>
      <c r="H47" s="534"/>
    </row>
    <row r="48" spans="1:8" ht="17.149999999999999">
      <c r="A48" s="508"/>
      <c r="B48" s="516"/>
      <c r="C48" s="531"/>
      <c r="D48" s="532" t="s">
        <v>272</v>
      </c>
      <c r="E48" s="518"/>
      <c r="F48" s="518">
        <v>1</v>
      </c>
      <c r="G48" s="527"/>
      <c r="H48" s="534"/>
    </row>
    <row r="49" spans="1:8" ht="17.149999999999999">
      <c r="A49" s="533">
        <v>11</v>
      </c>
      <c r="B49" s="520" t="s">
        <v>273</v>
      </c>
      <c r="C49" s="521"/>
      <c r="D49" s="522" t="s">
        <v>274</v>
      </c>
      <c r="E49" s="523">
        <v>6</v>
      </c>
      <c r="F49" s="523">
        <v>24</v>
      </c>
      <c r="G49" s="524">
        <f>SUM(F49:F53)</f>
        <v>37</v>
      </c>
      <c r="H49" s="550"/>
    </row>
    <row r="50" spans="1:8" ht="17.149999999999999">
      <c r="A50" s="508"/>
      <c r="B50" s="525" t="s">
        <v>275</v>
      </c>
      <c r="C50" s="526"/>
      <c r="D50" s="511" t="s">
        <v>276</v>
      </c>
      <c r="E50" s="512"/>
      <c r="F50" s="512">
        <v>12</v>
      </c>
      <c r="G50" s="529"/>
      <c r="H50" s="534"/>
    </row>
    <row r="51" spans="1:8" ht="17.149999999999999">
      <c r="A51" s="551"/>
      <c r="B51" s="525"/>
      <c r="C51" s="526"/>
      <c r="D51" s="511" t="s">
        <v>277</v>
      </c>
      <c r="E51" s="512"/>
      <c r="F51" s="512"/>
      <c r="G51" s="529"/>
      <c r="H51" s="534"/>
    </row>
    <row r="52" spans="1:8" ht="17.149999999999999">
      <c r="A52" s="508"/>
      <c r="B52" s="525"/>
      <c r="C52" s="526"/>
      <c r="D52" s="511" t="s">
        <v>278</v>
      </c>
      <c r="E52" s="512"/>
      <c r="F52" s="512"/>
      <c r="G52" s="529"/>
      <c r="H52" s="534"/>
    </row>
    <row r="53" spans="1:8" ht="17.149999999999999">
      <c r="A53" s="508"/>
      <c r="B53" s="525"/>
      <c r="C53" s="526"/>
      <c r="D53" s="511" t="s">
        <v>279</v>
      </c>
      <c r="E53" s="512"/>
      <c r="F53" s="512">
        <v>1</v>
      </c>
      <c r="G53" s="527"/>
      <c r="H53" s="534"/>
    </row>
    <row r="54" spans="1:8" ht="17.149999999999999">
      <c r="A54" s="533">
        <v>12</v>
      </c>
      <c r="B54" s="520" t="s">
        <v>280</v>
      </c>
      <c r="C54" s="521"/>
      <c r="D54" s="522" t="s">
        <v>281</v>
      </c>
      <c r="E54" s="523">
        <v>10</v>
      </c>
      <c r="F54" s="523">
        <v>36</v>
      </c>
      <c r="G54" s="524">
        <f>SUM(F54:F57)</f>
        <v>39</v>
      </c>
      <c r="H54" s="550"/>
    </row>
    <row r="55" spans="1:8" ht="17.149999999999999">
      <c r="A55" s="508"/>
      <c r="B55" s="525" t="s">
        <v>282</v>
      </c>
      <c r="C55" s="526"/>
      <c r="D55" s="511" t="s">
        <v>283</v>
      </c>
      <c r="E55" s="512">
        <v>1</v>
      </c>
      <c r="F55" s="512">
        <v>2</v>
      </c>
      <c r="G55" s="529"/>
      <c r="H55" s="534"/>
    </row>
    <row r="56" spans="1:8" ht="17.149999999999999">
      <c r="A56" s="508"/>
      <c r="B56" s="525"/>
      <c r="C56" s="526"/>
      <c r="D56" s="511" t="s">
        <v>284</v>
      </c>
      <c r="E56" s="512"/>
      <c r="F56" s="512"/>
      <c r="G56" s="529"/>
      <c r="H56" s="534"/>
    </row>
    <row r="57" spans="1:8" ht="17.149999999999999">
      <c r="A57" s="551"/>
      <c r="B57" s="525"/>
      <c r="C57" s="526"/>
      <c r="D57" s="511" t="s">
        <v>272</v>
      </c>
      <c r="E57" s="512"/>
      <c r="F57" s="512">
        <v>1</v>
      </c>
      <c r="G57" s="529"/>
      <c r="H57" s="552"/>
    </row>
    <row r="58" spans="1:8" ht="17.149999999999999">
      <c r="A58" s="553">
        <v>13</v>
      </c>
      <c r="B58" s="520" t="s">
        <v>285</v>
      </c>
      <c r="C58" s="521"/>
      <c r="D58" s="522" t="s">
        <v>286</v>
      </c>
      <c r="E58" s="523">
        <v>8</v>
      </c>
      <c r="F58" s="523">
        <v>26</v>
      </c>
      <c r="G58" s="524">
        <f>F58+F59+F60+F62</f>
        <v>31</v>
      </c>
      <c r="H58" s="550"/>
    </row>
    <row r="59" spans="1:8" ht="17.149999999999999">
      <c r="A59" s="533"/>
      <c r="B59" s="525" t="s">
        <v>287</v>
      </c>
      <c r="C59" s="526"/>
      <c r="D59" s="511" t="s">
        <v>288</v>
      </c>
      <c r="E59" s="512">
        <v>1</v>
      </c>
      <c r="F59" s="513">
        <v>2</v>
      </c>
      <c r="G59" s="529"/>
      <c r="H59" s="534"/>
    </row>
    <row r="60" spans="1:8" ht="17.149999999999999">
      <c r="A60" s="551"/>
      <c r="B60" s="525"/>
      <c r="C60" s="526"/>
      <c r="D60" s="511" t="s">
        <v>289</v>
      </c>
      <c r="E60" s="512"/>
      <c r="F60" s="512">
        <v>2</v>
      </c>
      <c r="G60" s="529"/>
      <c r="H60" s="549"/>
    </row>
    <row r="61" spans="1:8" ht="17.149999999999999">
      <c r="A61" s="508"/>
      <c r="B61" s="525"/>
      <c r="C61" s="526"/>
      <c r="D61" s="511" t="s">
        <v>290</v>
      </c>
      <c r="E61" s="512"/>
      <c r="F61" s="512"/>
      <c r="G61" s="529"/>
      <c r="H61" s="549"/>
    </row>
    <row r="62" spans="1:8" ht="17.149999999999999">
      <c r="A62" s="541"/>
      <c r="B62" s="516"/>
      <c r="C62" s="531"/>
      <c r="D62" s="532" t="s">
        <v>279</v>
      </c>
      <c r="E62" s="518"/>
      <c r="F62" s="518">
        <v>1</v>
      </c>
      <c r="G62" s="527"/>
      <c r="H62" s="554"/>
    </row>
    <row r="63" spans="1:8" ht="17.149999999999999">
      <c r="A63" s="508">
        <v>14</v>
      </c>
      <c r="B63" s="520" t="s">
        <v>291</v>
      </c>
      <c r="C63" s="521"/>
      <c r="D63" s="522" t="s">
        <v>292</v>
      </c>
      <c r="E63" s="523">
        <v>10</v>
      </c>
      <c r="F63" s="523">
        <v>36</v>
      </c>
      <c r="G63" s="524">
        <f>SUM(F63:F66)</f>
        <v>39</v>
      </c>
      <c r="H63" s="549"/>
    </row>
    <row r="64" spans="1:8" ht="17.149999999999999">
      <c r="A64" s="508"/>
      <c r="B64" s="525" t="s">
        <v>293</v>
      </c>
      <c r="C64" s="526"/>
      <c r="D64" s="511" t="s">
        <v>294</v>
      </c>
      <c r="E64" s="512">
        <v>1</v>
      </c>
      <c r="F64" s="512">
        <v>2</v>
      </c>
      <c r="G64" s="529"/>
      <c r="H64" s="549"/>
    </row>
    <row r="65" spans="1:8" ht="17.149999999999999">
      <c r="A65" s="508"/>
      <c r="B65" s="525"/>
      <c r="C65" s="526"/>
      <c r="D65" s="511" t="s">
        <v>295</v>
      </c>
      <c r="E65" s="512"/>
      <c r="F65" s="512"/>
      <c r="G65" s="529"/>
      <c r="H65" s="549"/>
    </row>
    <row r="66" spans="1:8" ht="17.149999999999999">
      <c r="A66" s="530"/>
      <c r="B66" s="542"/>
      <c r="C66" s="543"/>
      <c r="D66" s="555" t="s">
        <v>272</v>
      </c>
      <c r="E66" s="544"/>
      <c r="F66" s="544">
        <v>1</v>
      </c>
      <c r="G66" s="546"/>
      <c r="H66" s="556"/>
    </row>
    <row r="67" spans="1:8" ht="16.55" customHeight="1">
      <c r="A67" s="508">
        <v>15</v>
      </c>
      <c r="B67" s="520" t="s">
        <v>296</v>
      </c>
      <c r="C67" s="521"/>
      <c r="D67" s="522" t="s">
        <v>297</v>
      </c>
      <c r="E67" s="523">
        <v>7</v>
      </c>
      <c r="F67" s="523">
        <v>21</v>
      </c>
      <c r="G67" s="524">
        <f>SUM(F67:F72)</f>
        <v>39</v>
      </c>
      <c r="H67" s="540"/>
    </row>
    <row r="68" spans="1:8" ht="17.149999999999999">
      <c r="A68" s="508"/>
      <c r="B68" s="525" t="s">
        <v>298</v>
      </c>
      <c r="C68" s="526"/>
      <c r="D68" s="511" t="s">
        <v>299</v>
      </c>
      <c r="E68" s="512">
        <v>3</v>
      </c>
      <c r="F68" s="512">
        <v>15</v>
      </c>
      <c r="G68" s="529"/>
      <c r="H68" s="557"/>
    </row>
    <row r="69" spans="1:8" ht="17.149999999999999">
      <c r="A69" s="508"/>
      <c r="B69" s="525"/>
      <c r="C69" s="526"/>
      <c r="D69" s="511" t="s">
        <v>300</v>
      </c>
      <c r="E69" s="512">
        <v>1</v>
      </c>
      <c r="F69" s="512">
        <v>2</v>
      </c>
      <c r="G69" s="529"/>
      <c r="H69" s="557"/>
    </row>
    <row r="70" spans="1:8" ht="17.149999999999999">
      <c r="A70" s="551"/>
      <c r="B70" s="525"/>
      <c r="C70" s="526"/>
      <c r="D70" s="511" t="s">
        <v>301</v>
      </c>
      <c r="E70" s="512"/>
      <c r="F70" s="512"/>
      <c r="G70" s="529"/>
      <c r="H70" s="558"/>
    </row>
    <row r="71" spans="1:8" ht="17.149999999999999">
      <c r="A71" s="551"/>
      <c r="B71" s="525"/>
      <c r="C71" s="526"/>
      <c r="D71" s="511" t="s">
        <v>302</v>
      </c>
      <c r="E71" s="512"/>
      <c r="F71" s="512"/>
      <c r="G71" s="529"/>
      <c r="H71" s="558"/>
    </row>
    <row r="72" spans="1:8" ht="17.149999999999999">
      <c r="A72" s="515"/>
      <c r="B72" s="516"/>
      <c r="C72" s="531"/>
      <c r="D72" s="532" t="s">
        <v>257</v>
      </c>
      <c r="E72" s="518"/>
      <c r="F72" s="518">
        <v>1</v>
      </c>
      <c r="G72" s="527"/>
      <c r="H72" s="559"/>
    </row>
    <row r="73" spans="1:8" ht="17.149999999999999">
      <c r="A73" s="508">
        <v>16</v>
      </c>
      <c r="B73" s="520" t="s">
        <v>303</v>
      </c>
      <c r="C73" s="521"/>
      <c r="D73" s="522" t="s">
        <v>304</v>
      </c>
      <c r="E73" s="523">
        <v>6</v>
      </c>
      <c r="F73" s="523">
        <v>30</v>
      </c>
      <c r="G73" s="524">
        <f>SUM(F73:F76)</f>
        <v>33</v>
      </c>
      <c r="H73" s="558"/>
    </row>
    <row r="74" spans="1:8" ht="17.149999999999999">
      <c r="A74" s="508"/>
      <c r="B74" s="525" t="s">
        <v>305</v>
      </c>
      <c r="C74" s="526"/>
      <c r="D74" s="511" t="s">
        <v>306</v>
      </c>
      <c r="E74" s="512"/>
      <c r="F74" s="512">
        <v>2</v>
      </c>
      <c r="G74" s="529"/>
      <c r="H74" s="558"/>
    </row>
    <row r="75" spans="1:8" ht="17.149999999999999">
      <c r="A75" s="508"/>
      <c r="B75" s="525"/>
      <c r="C75" s="526"/>
      <c r="D75" s="511" t="s">
        <v>307</v>
      </c>
      <c r="E75" s="512"/>
      <c r="F75" s="512"/>
      <c r="G75" s="529"/>
      <c r="H75" s="558"/>
    </row>
    <row r="76" spans="1:8" ht="17.149999999999999">
      <c r="A76" s="530"/>
      <c r="B76" s="516"/>
      <c r="C76" s="531"/>
      <c r="D76" s="532" t="s">
        <v>272</v>
      </c>
      <c r="E76" s="518"/>
      <c r="F76" s="518">
        <v>1</v>
      </c>
      <c r="G76" s="527"/>
      <c r="H76" s="559"/>
    </row>
    <row r="77" spans="1:8" ht="17.149999999999999">
      <c r="A77" s="560"/>
      <c r="B77" s="561"/>
      <c r="C77" s="562"/>
      <c r="D77" s="561"/>
      <c r="E77" s="560"/>
      <c r="F77" s="560"/>
      <c r="G77" s="560"/>
      <c r="H77" s="563"/>
    </row>
    <row r="78" spans="1:8" ht="17.149999999999999">
      <c r="A78" s="548"/>
      <c r="B78" s="564"/>
      <c r="C78" s="565"/>
      <c r="D78" s="564"/>
      <c r="E78" s="548"/>
      <c r="F78" s="566" t="s">
        <v>308</v>
      </c>
      <c r="H78" s="567"/>
    </row>
    <row r="79" spans="1:8" ht="17.149999999999999">
      <c r="A79" s="548"/>
      <c r="B79" s="564"/>
      <c r="C79" s="565"/>
      <c r="D79" s="564"/>
      <c r="E79" s="548"/>
      <c r="F79" s="548"/>
      <c r="G79" s="548"/>
      <c r="H79" s="567"/>
    </row>
    <row r="80" spans="1:8" ht="17.149999999999999">
      <c r="A80" s="548"/>
      <c r="B80" s="564"/>
      <c r="C80" s="565"/>
      <c r="D80" s="564"/>
      <c r="E80" s="548"/>
      <c r="F80" s="548"/>
      <c r="G80" s="548"/>
      <c r="H80" s="567"/>
    </row>
    <row r="81" spans="1:8" ht="17.149999999999999">
      <c r="A81" s="548"/>
      <c r="B81" s="564"/>
      <c r="C81" s="565"/>
      <c r="D81" s="564"/>
      <c r="E81" s="548"/>
      <c r="F81" s="548"/>
      <c r="G81" s="548"/>
      <c r="H81" s="567"/>
    </row>
    <row r="82" spans="1:8" ht="17.149999999999999">
      <c r="A82" s="548"/>
      <c r="B82" s="564"/>
      <c r="C82" s="565"/>
      <c r="D82" s="564"/>
      <c r="E82" s="548"/>
      <c r="F82" s="548"/>
      <c r="G82" s="548"/>
      <c r="H82" s="567"/>
    </row>
    <row r="83" spans="1:8" ht="17.149999999999999">
      <c r="A83" s="548"/>
      <c r="B83" s="564"/>
      <c r="C83" s="565"/>
      <c r="D83" s="564"/>
      <c r="E83" s="548"/>
      <c r="F83" s="548"/>
      <c r="G83" s="548"/>
      <c r="H83" s="567"/>
    </row>
    <row r="84" spans="1:8" ht="17.149999999999999">
      <c r="A84" s="548"/>
      <c r="B84" s="564"/>
      <c r="C84" s="565"/>
      <c r="D84" s="564"/>
      <c r="E84" s="548"/>
      <c r="F84" s="548"/>
      <c r="G84" s="548"/>
      <c r="H84" s="567"/>
    </row>
    <row r="85" spans="1:8" ht="17.149999999999999">
      <c r="A85" s="548"/>
      <c r="B85" s="564"/>
      <c r="C85" s="565"/>
      <c r="D85" s="564"/>
      <c r="E85" s="548"/>
      <c r="F85" s="548"/>
      <c r="G85" s="548"/>
      <c r="H85" s="567"/>
    </row>
    <row r="86" spans="1:8" ht="16.55" customHeight="1">
      <c r="A86" s="551">
        <v>17</v>
      </c>
      <c r="B86" s="525" t="s">
        <v>309</v>
      </c>
      <c r="C86" s="526"/>
      <c r="D86" s="511" t="s">
        <v>310</v>
      </c>
      <c r="E86" s="512">
        <v>14</v>
      </c>
      <c r="F86" s="512">
        <v>28</v>
      </c>
      <c r="G86" s="529">
        <f>SUM(F86:F91)</f>
        <v>35</v>
      </c>
      <c r="H86" s="534"/>
    </row>
    <row r="87" spans="1:8" ht="16.55" customHeight="1">
      <c r="A87" s="551"/>
      <c r="B87" s="525" t="s">
        <v>311</v>
      </c>
      <c r="C87" s="526"/>
      <c r="D87" s="511" t="s">
        <v>312</v>
      </c>
      <c r="E87" s="512"/>
      <c r="F87" s="512">
        <v>2</v>
      </c>
      <c r="G87" s="529"/>
      <c r="H87" s="534"/>
    </row>
    <row r="88" spans="1:8" ht="16.55" customHeight="1">
      <c r="A88" s="551"/>
      <c r="B88" s="525"/>
      <c r="C88" s="526"/>
      <c r="D88" s="511" t="s">
        <v>313</v>
      </c>
      <c r="E88" s="512"/>
      <c r="F88" s="512"/>
      <c r="G88" s="529"/>
      <c r="H88" s="534"/>
    </row>
    <row r="89" spans="1:8" ht="16.55" customHeight="1">
      <c r="A89" s="551"/>
      <c r="B89" s="525"/>
      <c r="C89" s="526"/>
      <c r="D89" s="511" t="s">
        <v>314</v>
      </c>
      <c r="E89" s="512"/>
      <c r="F89" s="512">
        <v>2</v>
      </c>
      <c r="G89" s="529"/>
      <c r="H89" s="534"/>
    </row>
    <row r="90" spans="1:8" ht="16.55" customHeight="1">
      <c r="A90" s="551"/>
      <c r="B90" s="525"/>
      <c r="C90" s="526"/>
      <c r="D90" s="511" t="s">
        <v>315</v>
      </c>
      <c r="E90" s="512"/>
      <c r="F90" s="512">
        <v>2</v>
      </c>
      <c r="G90" s="529"/>
      <c r="H90" s="534"/>
    </row>
    <row r="91" spans="1:8" ht="16.55" customHeight="1">
      <c r="A91" s="551"/>
      <c r="B91" s="525"/>
      <c r="C91" s="526"/>
      <c r="D91" s="511" t="s">
        <v>257</v>
      </c>
      <c r="E91" s="512"/>
      <c r="F91" s="512">
        <v>1</v>
      </c>
      <c r="G91" s="529"/>
      <c r="H91" s="534"/>
    </row>
    <row r="92" spans="1:8" ht="16.55" customHeight="1">
      <c r="A92" s="568">
        <v>18</v>
      </c>
      <c r="B92" s="569" t="s">
        <v>316</v>
      </c>
      <c r="C92" s="570"/>
      <c r="D92" s="571" t="s">
        <v>317</v>
      </c>
      <c r="E92" s="560">
        <v>15</v>
      </c>
      <c r="F92" s="523">
        <v>30</v>
      </c>
      <c r="G92" s="524">
        <f>SUM(F92:F94)</f>
        <v>33</v>
      </c>
      <c r="H92" s="550"/>
    </row>
    <row r="93" spans="1:8" ht="16.55" customHeight="1">
      <c r="A93" s="551"/>
      <c r="B93" s="572" t="s">
        <v>318</v>
      </c>
      <c r="C93" s="565"/>
      <c r="D93" s="511" t="s">
        <v>319</v>
      </c>
      <c r="E93" s="548">
        <v>1</v>
      </c>
      <c r="F93" s="512">
        <v>2</v>
      </c>
      <c r="G93" s="529"/>
      <c r="H93" s="534"/>
    </row>
    <row r="94" spans="1:8" ht="16.55" customHeight="1">
      <c r="A94" s="551"/>
      <c r="B94" s="573"/>
      <c r="C94" s="565"/>
      <c r="D94" s="511" t="s">
        <v>249</v>
      </c>
      <c r="E94" s="548"/>
      <c r="F94" s="512">
        <v>1</v>
      </c>
      <c r="G94" s="529"/>
      <c r="H94" s="534"/>
    </row>
    <row r="95" spans="1:8" ht="16.55" customHeight="1">
      <c r="A95" s="568">
        <v>19</v>
      </c>
      <c r="B95" s="520" t="s">
        <v>320</v>
      </c>
      <c r="C95" s="521"/>
      <c r="D95" s="522" t="s">
        <v>321</v>
      </c>
      <c r="E95" s="523">
        <v>9</v>
      </c>
      <c r="F95" s="523">
        <v>25</v>
      </c>
      <c r="G95" s="524">
        <f>SUM(F95:F98)</f>
        <v>26</v>
      </c>
      <c r="H95" s="574"/>
    </row>
    <row r="96" spans="1:8" ht="16.55" customHeight="1">
      <c r="A96" s="551"/>
      <c r="B96" s="525" t="s">
        <v>322</v>
      </c>
      <c r="C96" s="526"/>
      <c r="D96" s="511" t="s">
        <v>323</v>
      </c>
      <c r="E96" s="512"/>
      <c r="F96" s="512"/>
      <c r="G96" s="529"/>
      <c r="H96" s="549"/>
    </row>
    <row r="97" spans="1:8" ht="16.55" customHeight="1">
      <c r="A97" s="551"/>
      <c r="B97" s="525"/>
      <c r="C97" s="526"/>
      <c r="D97" s="511" t="s">
        <v>324</v>
      </c>
      <c r="E97" s="512"/>
      <c r="F97" s="512"/>
      <c r="G97" s="529"/>
      <c r="H97" s="549"/>
    </row>
    <row r="98" spans="1:8" ht="16.55" customHeight="1">
      <c r="A98" s="551"/>
      <c r="B98" s="525"/>
      <c r="C98" s="526"/>
      <c r="D98" s="511" t="s">
        <v>279</v>
      </c>
      <c r="E98" s="512"/>
      <c r="F98" s="512">
        <v>1</v>
      </c>
      <c r="G98" s="529"/>
      <c r="H98" s="549"/>
    </row>
    <row r="99" spans="1:8" ht="16.55" customHeight="1">
      <c r="A99" s="568">
        <v>20</v>
      </c>
      <c r="B99" s="561" t="s">
        <v>325</v>
      </c>
      <c r="C99" s="562"/>
      <c r="D99" s="522" t="s">
        <v>326</v>
      </c>
      <c r="E99" s="539">
        <v>6</v>
      </c>
      <c r="F99" s="539">
        <v>30</v>
      </c>
      <c r="G99" s="524">
        <f>SUM(F99:F103)</f>
        <v>35</v>
      </c>
      <c r="H99" s="540"/>
    </row>
    <row r="100" spans="1:8" ht="16.55" customHeight="1">
      <c r="A100" s="551"/>
      <c r="B100" s="564" t="s">
        <v>327</v>
      </c>
      <c r="C100" s="565"/>
      <c r="D100" s="511" t="s">
        <v>328</v>
      </c>
      <c r="E100" s="513"/>
      <c r="F100" s="513">
        <v>2</v>
      </c>
      <c r="G100" s="529"/>
      <c r="H100" s="557"/>
    </row>
    <row r="101" spans="1:8" ht="16.55" customHeight="1">
      <c r="A101" s="551"/>
      <c r="B101" s="564"/>
      <c r="C101" s="565"/>
      <c r="D101" s="511" t="s">
        <v>329</v>
      </c>
      <c r="E101" s="513"/>
      <c r="F101" s="513">
        <v>2</v>
      </c>
      <c r="G101" s="529"/>
      <c r="H101" s="557"/>
    </row>
    <row r="102" spans="1:8" ht="16.55" customHeight="1">
      <c r="A102" s="551"/>
      <c r="B102" s="564"/>
      <c r="C102" s="565"/>
      <c r="D102" s="511" t="s">
        <v>330</v>
      </c>
      <c r="E102" s="512"/>
      <c r="F102" s="512"/>
      <c r="G102" s="529"/>
      <c r="H102" s="557"/>
    </row>
    <row r="103" spans="1:8" ht="16.55" customHeight="1">
      <c r="A103" s="515"/>
      <c r="B103" s="575"/>
      <c r="C103" s="576"/>
      <c r="D103" s="532" t="s">
        <v>279</v>
      </c>
      <c r="E103" s="577"/>
      <c r="F103" s="518">
        <v>1</v>
      </c>
      <c r="G103" s="527"/>
      <c r="H103" s="578"/>
    </row>
    <row r="104" spans="1:8" ht="16.55" customHeight="1">
      <c r="A104" s="551">
        <v>21</v>
      </c>
      <c r="B104" s="564" t="s">
        <v>331</v>
      </c>
      <c r="C104" s="526"/>
      <c r="D104" s="511" t="s">
        <v>332</v>
      </c>
      <c r="E104" s="512">
        <v>7</v>
      </c>
      <c r="F104" s="512">
        <v>14</v>
      </c>
      <c r="G104" s="524">
        <f>F104+F105+F106+F108+F109</f>
        <v>33</v>
      </c>
      <c r="H104" s="550"/>
    </row>
    <row r="105" spans="1:8" ht="16.55" customHeight="1">
      <c r="A105" s="551"/>
      <c r="B105" s="564" t="s">
        <v>333</v>
      </c>
      <c r="C105" s="526"/>
      <c r="D105" s="511" t="s">
        <v>334</v>
      </c>
      <c r="E105" s="512">
        <v>7</v>
      </c>
      <c r="F105" s="512">
        <v>14</v>
      </c>
      <c r="G105" s="529"/>
      <c r="H105" s="534"/>
    </row>
    <row r="106" spans="1:8" ht="16.55" customHeight="1">
      <c r="A106" s="551"/>
      <c r="B106" s="564"/>
      <c r="C106" s="526"/>
      <c r="D106" s="511" t="s">
        <v>335</v>
      </c>
      <c r="E106" s="512"/>
      <c r="F106" s="512">
        <v>2</v>
      </c>
      <c r="G106" s="529"/>
      <c r="H106" s="534"/>
    </row>
    <row r="107" spans="1:8" ht="16.55" customHeight="1">
      <c r="A107" s="551"/>
      <c r="B107" s="564"/>
      <c r="C107" s="526"/>
      <c r="D107" s="511" t="s">
        <v>336</v>
      </c>
      <c r="E107" s="512">
        <v>1</v>
      </c>
      <c r="F107" s="512">
        <v>2</v>
      </c>
      <c r="G107" s="529"/>
      <c r="H107" s="534"/>
    </row>
    <row r="108" spans="1:8" ht="16.55" customHeight="1">
      <c r="A108" s="551"/>
      <c r="B108" s="564"/>
      <c r="C108" s="526"/>
      <c r="D108" s="511" t="s">
        <v>337</v>
      </c>
      <c r="E108" s="512"/>
      <c r="F108" s="512">
        <v>2</v>
      </c>
      <c r="G108" s="529"/>
      <c r="H108" s="534"/>
    </row>
    <row r="109" spans="1:8" ht="16.55" customHeight="1">
      <c r="A109" s="551"/>
      <c r="B109" s="525"/>
      <c r="C109" s="565"/>
      <c r="D109" s="511" t="s">
        <v>257</v>
      </c>
      <c r="E109" s="548"/>
      <c r="F109" s="512">
        <v>1</v>
      </c>
      <c r="G109" s="529"/>
      <c r="H109" s="534"/>
    </row>
    <row r="110" spans="1:8" ht="16.55" customHeight="1">
      <c r="A110" s="568">
        <v>22</v>
      </c>
      <c r="B110" s="561" t="s">
        <v>338</v>
      </c>
      <c r="C110" s="521"/>
      <c r="D110" s="522" t="s">
        <v>339</v>
      </c>
      <c r="E110" s="523">
        <v>7</v>
      </c>
      <c r="F110" s="523">
        <v>21</v>
      </c>
      <c r="G110" s="524">
        <f>F110+F111+F114+F113+F114</f>
        <v>27</v>
      </c>
      <c r="H110" s="540"/>
    </row>
    <row r="111" spans="1:8" ht="16.55" customHeight="1">
      <c r="A111" s="551"/>
      <c r="B111" s="564" t="s">
        <v>340</v>
      </c>
      <c r="C111" s="526"/>
      <c r="D111" s="511" t="s">
        <v>341</v>
      </c>
      <c r="E111" s="512"/>
      <c r="F111" s="513">
        <v>2</v>
      </c>
      <c r="G111" s="529"/>
      <c r="H111" s="557"/>
    </row>
    <row r="112" spans="1:8" ht="16.55" customHeight="1">
      <c r="A112" s="551"/>
      <c r="B112" s="564"/>
      <c r="C112" s="526"/>
      <c r="D112" s="511" t="s">
        <v>342</v>
      </c>
      <c r="E112" s="512">
        <v>1</v>
      </c>
      <c r="F112" s="512">
        <v>2</v>
      </c>
      <c r="G112" s="529"/>
      <c r="H112" s="557"/>
    </row>
    <row r="113" spans="1:8" ht="16.55" customHeight="1">
      <c r="A113" s="551"/>
      <c r="B113" s="579"/>
      <c r="C113" s="526"/>
      <c r="D113" s="511" t="s">
        <v>343</v>
      </c>
      <c r="E113" s="512"/>
      <c r="F113" s="512">
        <v>2</v>
      </c>
      <c r="G113" s="529"/>
      <c r="H113" s="557"/>
    </row>
    <row r="114" spans="1:8" ht="16.55" customHeight="1">
      <c r="A114" s="551"/>
      <c r="B114" s="564"/>
      <c r="C114" s="526"/>
      <c r="D114" s="511" t="s">
        <v>279</v>
      </c>
      <c r="E114" s="512"/>
      <c r="F114" s="512">
        <v>1</v>
      </c>
      <c r="G114" s="529"/>
      <c r="H114" s="557"/>
    </row>
    <row r="115" spans="1:8" ht="16.55" customHeight="1">
      <c r="A115" s="568">
        <v>23</v>
      </c>
      <c r="B115" s="561" t="s">
        <v>344</v>
      </c>
      <c r="C115" s="562"/>
      <c r="D115" s="522" t="s">
        <v>345</v>
      </c>
      <c r="E115" s="560">
        <v>7</v>
      </c>
      <c r="F115" s="523">
        <v>21</v>
      </c>
      <c r="G115" s="524">
        <f>SUM(F115:F118)</f>
        <v>26</v>
      </c>
      <c r="H115" s="540"/>
    </row>
    <row r="116" spans="1:8" ht="16.55" customHeight="1">
      <c r="A116" s="551"/>
      <c r="B116" s="564" t="s">
        <v>346</v>
      </c>
      <c r="C116" s="565"/>
      <c r="D116" s="511" t="s">
        <v>347</v>
      </c>
      <c r="E116" s="548"/>
      <c r="F116" s="512">
        <v>2</v>
      </c>
      <c r="G116" s="529"/>
      <c r="H116" s="557"/>
    </row>
    <row r="117" spans="1:8" ht="16.55" customHeight="1">
      <c r="A117" s="551"/>
      <c r="B117" s="564"/>
      <c r="C117" s="565"/>
      <c r="D117" s="511" t="s">
        <v>348</v>
      </c>
      <c r="E117" s="548">
        <v>1</v>
      </c>
      <c r="F117" s="512">
        <v>2</v>
      </c>
      <c r="G117" s="529"/>
      <c r="H117" s="557"/>
    </row>
    <row r="118" spans="1:8" ht="16.55" customHeight="1">
      <c r="A118" s="515"/>
      <c r="B118" s="575"/>
      <c r="C118" s="576"/>
      <c r="D118" s="532" t="s">
        <v>272</v>
      </c>
      <c r="E118" s="577"/>
      <c r="F118" s="518">
        <v>1</v>
      </c>
      <c r="G118" s="527"/>
      <c r="H118" s="578"/>
    </row>
    <row r="119" spans="1:8" ht="16.55" customHeight="1">
      <c r="A119" s="551">
        <v>24</v>
      </c>
      <c r="B119" s="564" t="s">
        <v>349</v>
      </c>
      <c r="C119" s="565"/>
      <c r="D119" s="511" t="s">
        <v>350</v>
      </c>
      <c r="E119" s="548">
        <v>7</v>
      </c>
      <c r="F119" s="512">
        <v>28</v>
      </c>
      <c r="G119" s="529">
        <f>F119+F122+F120+F121</f>
        <v>33</v>
      </c>
      <c r="H119" s="580"/>
    </row>
    <row r="120" spans="1:8" ht="16.55" customHeight="1">
      <c r="A120" s="551"/>
      <c r="B120" s="564" t="s">
        <v>351</v>
      </c>
      <c r="C120" s="565"/>
      <c r="D120" s="511" t="s">
        <v>352</v>
      </c>
      <c r="E120" s="548"/>
      <c r="F120" s="512">
        <v>2</v>
      </c>
      <c r="G120" s="529"/>
      <c r="H120" s="580"/>
    </row>
    <row r="121" spans="1:8" ht="16.55" customHeight="1">
      <c r="A121" s="551"/>
      <c r="B121" s="564"/>
      <c r="C121" s="565"/>
      <c r="D121" s="511" t="s">
        <v>353</v>
      </c>
      <c r="E121" s="548">
        <v>1</v>
      </c>
      <c r="F121" s="512">
        <v>2</v>
      </c>
      <c r="G121" s="529"/>
      <c r="H121" s="580"/>
    </row>
    <row r="122" spans="1:8" ht="16.55" customHeight="1">
      <c r="A122" s="515"/>
      <c r="B122" s="575"/>
      <c r="C122" s="576"/>
      <c r="D122" s="532" t="s">
        <v>272</v>
      </c>
      <c r="E122" s="577"/>
      <c r="F122" s="518">
        <v>1</v>
      </c>
      <c r="G122" s="527"/>
      <c r="H122" s="581"/>
    </row>
    <row r="123" spans="1:8" ht="16.55" customHeight="1">
      <c r="A123" s="568">
        <v>25</v>
      </c>
      <c r="B123" s="561" t="s">
        <v>354</v>
      </c>
      <c r="C123" s="562"/>
      <c r="D123" s="522" t="s">
        <v>355</v>
      </c>
      <c r="E123" s="560">
        <v>8</v>
      </c>
      <c r="F123" s="523">
        <v>24</v>
      </c>
      <c r="G123" s="524">
        <f>SUM(F123:F126)</f>
        <v>29</v>
      </c>
      <c r="H123" s="540"/>
    </row>
    <row r="124" spans="1:8" ht="16.55" customHeight="1">
      <c r="A124" s="551"/>
      <c r="B124" s="564" t="s">
        <v>356</v>
      </c>
      <c r="C124" s="565"/>
      <c r="D124" s="511" t="s">
        <v>357</v>
      </c>
      <c r="E124" s="548"/>
      <c r="F124" s="512">
        <v>2</v>
      </c>
      <c r="G124" s="529"/>
      <c r="H124" s="557"/>
    </row>
    <row r="125" spans="1:8" ht="16.55" customHeight="1">
      <c r="A125" s="551"/>
      <c r="B125" s="564"/>
      <c r="C125" s="565"/>
      <c r="D125" s="511" t="s">
        <v>358</v>
      </c>
      <c r="E125" s="565"/>
      <c r="F125" s="512">
        <v>2</v>
      </c>
      <c r="G125" s="529"/>
      <c r="H125" s="557"/>
    </row>
    <row r="126" spans="1:8" ht="16.55" customHeight="1">
      <c r="A126" s="515"/>
      <c r="B126" s="575"/>
      <c r="C126" s="576"/>
      <c r="D126" s="532" t="s">
        <v>279</v>
      </c>
      <c r="E126" s="576"/>
      <c r="F126" s="518">
        <v>1</v>
      </c>
      <c r="G126" s="527"/>
      <c r="H126" s="578"/>
    </row>
    <row r="127" spans="1:8" ht="16.55" customHeight="1">
      <c r="A127" s="568">
        <v>26</v>
      </c>
      <c r="B127" s="561" t="s">
        <v>359</v>
      </c>
      <c r="C127" s="562"/>
      <c r="D127" s="522" t="s">
        <v>360</v>
      </c>
      <c r="E127" s="539">
        <v>8</v>
      </c>
      <c r="F127" s="539">
        <v>24</v>
      </c>
      <c r="G127" s="524">
        <f>SUM(F127:F131)</f>
        <v>45</v>
      </c>
      <c r="H127" s="582"/>
    </row>
    <row r="128" spans="1:8" ht="16.55" customHeight="1">
      <c r="A128" s="551"/>
      <c r="B128" s="564" t="s">
        <v>361</v>
      </c>
      <c r="C128" s="565"/>
      <c r="D128" s="511" t="s">
        <v>362</v>
      </c>
      <c r="E128" s="513">
        <v>8</v>
      </c>
      <c r="F128" s="513">
        <v>16</v>
      </c>
      <c r="G128" s="529"/>
      <c r="H128" s="583"/>
    </row>
    <row r="129" spans="1:8" ht="16.55" customHeight="1">
      <c r="A129" s="551"/>
      <c r="B129" s="564"/>
      <c r="C129" s="565"/>
      <c r="D129" s="511" t="s">
        <v>363</v>
      </c>
      <c r="E129" s="512">
        <v>1</v>
      </c>
      <c r="F129" s="512">
        <v>2</v>
      </c>
      <c r="G129" s="529"/>
      <c r="H129" s="583"/>
    </row>
    <row r="130" spans="1:8" ht="16.55" customHeight="1">
      <c r="A130" s="551"/>
      <c r="B130" s="564"/>
      <c r="C130" s="565"/>
      <c r="D130" s="511" t="s">
        <v>364</v>
      </c>
      <c r="E130" s="512"/>
      <c r="F130" s="512">
        <v>2</v>
      </c>
      <c r="G130" s="529"/>
      <c r="H130" s="583"/>
    </row>
    <row r="131" spans="1:8" ht="16.55" customHeight="1">
      <c r="A131" s="515"/>
      <c r="B131" s="575"/>
      <c r="C131" s="576"/>
      <c r="D131" s="532" t="s">
        <v>279</v>
      </c>
      <c r="E131" s="518"/>
      <c r="F131" s="518">
        <v>1</v>
      </c>
      <c r="G131" s="527"/>
      <c r="H131" s="584"/>
    </row>
    <row r="132" spans="1:8" ht="16.55" customHeight="1">
      <c r="A132" s="551">
        <v>27</v>
      </c>
      <c r="B132" s="564" t="s">
        <v>365</v>
      </c>
      <c r="C132" s="565"/>
      <c r="D132" s="511" t="s">
        <v>366</v>
      </c>
      <c r="E132" s="512">
        <v>7</v>
      </c>
      <c r="F132" s="512">
        <v>28</v>
      </c>
      <c r="G132" s="529">
        <f>SUM(F132:F136)</f>
        <v>35</v>
      </c>
      <c r="H132" s="557"/>
    </row>
    <row r="133" spans="1:8" ht="16.55" customHeight="1">
      <c r="A133" s="551"/>
      <c r="B133" s="564" t="s">
        <v>367</v>
      </c>
      <c r="C133" s="565"/>
      <c r="D133" s="511" t="s">
        <v>368</v>
      </c>
      <c r="E133" s="512"/>
      <c r="F133" s="512">
        <v>2</v>
      </c>
      <c r="G133" s="529"/>
      <c r="H133" s="557"/>
    </row>
    <row r="134" spans="1:8" ht="16.55" customHeight="1">
      <c r="A134" s="551"/>
      <c r="B134" s="564"/>
      <c r="C134" s="565"/>
      <c r="D134" s="511" t="s">
        <v>369</v>
      </c>
      <c r="E134" s="512">
        <v>1</v>
      </c>
      <c r="F134" s="512">
        <v>2</v>
      </c>
      <c r="G134" s="529"/>
      <c r="H134" s="557"/>
    </row>
    <row r="135" spans="1:8" ht="16.55" customHeight="1">
      <c r="A135" s="551"/>
      <c r="B135" s="564"/>
      <c r="C135" s="565"/>
      <c r="D135" s="511" t="s">
        <v>370</v>
      </c>
      <c r="E135" s="512"/>
      <c r="F135" s="512">
        <v>2</v>
      </c>
      <c r="G135" s="529"/>
      <c r="H135" s="557"/>
    </row>
    <row r="136" spans="1:8" ht="16.55" customHeight="1">
      <c r="A136" s="515"/>
      <c r="B136" s="575"/>
      <c r="C136" s="576"/>
      <c r="D136" s="532" t="s">
        <v>279</v>
      </c>
      <c r="E136" s="518"/>
      <c r="F136" s="518">
        <v>1</v>
      </c>
      <c r="G136" s="527"/>
      <c r="H136" s="578"/>
    </row>
    <row r="137" spans="1:8" ht="16.55" customHeight="1">
      <c r="A137" s="560"/>
      <c r="B137" s="561"/>
      <c r="C137" s="562"/>
      <c r="D137" s="561"/>
      <c r="E137" s="560"/>
      <c r="F137" s="560"/>
      <c r="G137" s="560"/>
      <c r="H137" s="585"/>
    </row>
    <row r="138" spans="1:8" ht="16.55" customHeight="1">
      <c r="A138" s="548"/>
      <c r="B138" s="564"/>
      <c r="C138" s="565"/>
      <c r="D138" s="564"/>
      <c r="E138" s="548"/>
      <c r="F138" s="566" t="s">
        <v>308</v>
      </c>
      <c r="G138" s="566"/>
      <c r="H138" s="586"/>
    </row>
    <row r="139" spans="1:8" ht="16.55" customHeight="1">
      <c r="A139" s="548"/>
      <c r="B139" s="564"/>
      <c r="C139" s="565"/>
      <c r="D139" s="564"/>
      <c r="E139" s="548"/>
      <c r="F139" s="548"/>
      <c r="G139" s="548"/>
      <c r="H139" s="586"/>
    </row>
    <row r="140" spans="1:8" ht="16.55" customHeight="1">
      <c r="A140" s="548"/>
      <c r="B140" s="564"/>
      <c r="C140" s="565"/>
      <c r="D140" s="564"/>
      <c r="E140" s="548"/>
      <c r="F140" s="548"/>
      <c r="G140" s="548"/>
      <c r="H140" s="586"/>
    </row>
    <row r="141" spans="1:8" ht="16.55" customHeight="1">
      <c r="A141" s="548"/>
      <c r="B141" s="564"/>
      <c r="C141" s="565"/>
      <c r="D141" s="564"/>
      <c r="E141" s="548"/>
      <c r="F141" s="548"/>
      <c r="G141" s="548"/>
      <c r="H141" s="586"/>
    </row>
    <row r="142" spans="1:8" ht="16.55" customHeight="1">
      <c r="A142" s="548"/>
      <c r="B142" s="564"/>
      <c r="C142" s="565"/>
      <c r="D142" s="564"/>
      <c r="E142" s="548"/>
      <c r="F142" s="548"/>
      <c r="G142" s="548"/>
      <c r="H142" s="586"/>
    </row>
    <row r="143" spans="1:8" ht="16.55" customHeight="1">
      <c r="A143" s="548"/>
      <c r="B143" s="564"/>
      <c r="C143" s="565"/>
      <c r="D143" s="564"/>
      <c r="E143" s="548"/>
      <c r="F143" s="548"/>
      <c r="G143" s="548"/>
      <c r="H143" s="586"/>
    </row>
    <row r="144" spans="1:8" ht="16.55" customHeight="1">
      <c r="A144" s="548"/>
      <c r="B144" s="564"/>
      <c r="C144" s="565"/>
      <c r="D144" s="564"/>
      <c r="E144" s="548"/>
      <c r="F144" s="548"/>
      <c r="G144" s="548"/>
      <c r="H144" s="586"/>
    </row>
    <row r="145" spans="1:8" ht="16.55" customHeight="1">
      <c r="A145" s="548"/>
      <c r="B145" s="564"/>
      <c r="C145" s="565"/>
      <c r="D145" s="564"/>
      <c r="E145" s="548"/>
      <c r="F145" s="548"/>
      <c r="G145" s="548"/>
      <c r="H145" s="586"/>
    </row>
    <row r="146" spans="1:8" ht="16.55" customHeight="1">
      <c r="A146" s="548"/>
      <c r="B146" s="564"/>
      <c r="C146" s="565"/>
      <c r="D146" s="564"/>
      <c r="E146" s="548"/>
      <c r="F146" s="548"/>
      <c r="G146" s="548"/>
      <c r="H146" s="586"/>
    </row>
    <row r="147" spans="1:8" ht="16.55" customHeight="1">
      <c r="A147" s="548"/>
      <c r="B147" s="564"/>
      <c r="C147" s="565"/>
      <c r="D147" s="564"/>
      <c r="E147" s="548"/>
      <c r="F147" s="548"/>
      <c r="G147" s="548"/>
      <c r="H147" s="586"/>
    </row>
    <row r="148" spans="1:8" ht="16.55" customHeight="1">
      <c r="A148" s="548"/>
      <c r="B148" s="564"/>
      <c r="C148" s="565"/>
      <c r="D148" s="564"/>
      <c r="E148" s="548"/>
      <c r="F148" s="548"/>
      <c r="G148" s="548"/>
      <c r="H148" s="586"/>
    </row>
    <row r="149" spans="1:8" ht="16.55" customHeight="1">
      <c r="A149" s="551">
        <v>28</v>
      </c>
      <c r="B149" s="520" t="s">
        <v>371</v>
      </c>
      <c r="C149" s="521"/>
      <c r="D149" s="522" t="s">
        <v>372</v>
      </c>
      <c r="E149" s="539">
        <v>6</v>
      </c>
      <c r="F149" s="539">
        <v>30</v>
      </c>
      <c r="G149" s="524">
        <f>SUM(F149:F153)</f>
        <v>35</v>
      </c>
      <c r="H149" s="580"/>
    </row>
    <row r="150" spans="1:8" ht="16.55" customHeight="1">
      <c r="A150" s="551"/>
      <c r="B150" s="525" t="s">
        <v>373</v>
      </c>
      <c r="C150" s="526"/>
      <c r="D150" s="511" t="s">
        <v>374</v>
      </c>
      <c r="E150" s="513"/>
      <c r="F150" s="513">
        <v>2</v>
      </c>
      <c r="G150" s="529"/>
      <c r="H150" s="580"/>
    </row>
    <row r="151" spans="1:8" ht="16.55" customHeight="1">
      <c r="A151" s="551"/>
      <c r="B151" s="525"/>
      <c r="C151" s="526"/>
      <c r="D151" s="511" t="s">
        <v>375</v>
      </c>
      <c r="E151" s="513">
        <v>1</v>
      </c>
      <c r="F151" s="513">
        <v>2</v>
      </c>
      <c r="G151" s="529"/>
      <c r="H151" s="580"/>
    </row>
    <row r="152" spans="1:8" ht="16.55" customHeight="1">
      <c r="A152" s="551"/>
      <c r="B152" s="525"/>
      <c r="C152" s="526"/>
      <c r="D152" s="525" t="s">
        <v>376</v>
      </c>
      <c r="E152" s="513"/>
      <c r="F152" s="513"/>
      <c r="G152" s="529"/>
      <c r="H152" s="580"/>
    </row>
    <row r="153" spans="1:8" ht="16.55" customHeight="1">
      <c r="A153" s="551"/>
      <c r="B153" s="564"/>
      <c r="C153" s="565"/>
      <c r="D153" s="511" t="s">
        <v>279</v>
      </c>
      <c r="E153" s="513"/>
      <c r="F153" s="513">
        <v>1</v>
      </c>
      <c r="G153" s="527"/>
      <c r="H153" s="580"/>
    </row>
    <row r="154" spans="1:8" ht="16.55" customHeight="1">
      <c r="A154" s="568">
        <v>29</v>
      </c>
      <c r="B154" s="561" t="s">
        <v>377</v>
      </c>
      <c r="C154" s="562"/>
      <c r="D154" s="522" t="s">
        <v>378</v>
      </c>
      <c r="E154" s="539">
        <v>8</v>
      </c>
      <c r="F154" s="539">
        <v>24</v>
      </c>
      <c r="G154" s="524">
        <f>SUM(F154:F158)</f>
        <v>31</v>
      </c>
      <c r="H154" s="587"/>
    </row>
    <row r="155" spans="1:8" ht="16.55" customHeight="1">
      <c r="A155" s="551"/>
      <c r="B155" s="564" t="s">
        <v>379</v>
      </c>
      <c r="C155" s="565"/>
      <c r="D155" s="511" t="s">
        <v>380</v>
      </c>
      <c r="E155" s="513">
        <v>1</v>
      </c>
      <c r="F155" s="513">
        <v>2</v>
      </c>
      <c r="G155" s="529"/>
      <c r="H155" s="588"/>
    </row>
    <row r="156" spans="1:8" ht="16.55" customHeight="1">
      <c r="A156" s="551"/>
      <c r="B156" s="564"/>
      <c r="C156" s="565"/>
      <c r="D156" s="511" t="s">
        <v>381</v>
      </c>
      <c r="E156" s="513"/>
      <c r="F156" s="513">
        <v>2</v>
      </c>
      <c r="G156" s="529"/>
      <c r="H156" s="588"/>
    </row>
    <row r="157" spans="1:8" ht="16.55" customHeight="1">
      <c r="A157" s="551"/>
      <c r="B157" s="589"/>
      <c r="C157" s="565"/>
      <c r="D157" s="511" t="s">
        <v>382</v>
      </c>
      <c r="E157" s="513"/>
      <c r="F157" s="548">
        <v>2</v>
      </c>
      <c r="G157" s="529"/>
      <c r="H157" s="588"/>
    </row>
    <row r="158" spans="1:8" ht="16.55" customHeight="1">
      <c r="A158" s="551"/>
      <c r="B158" s="590"/>
      <c r="C158" s="565"/>
      <c r="D158" s="511" t="s">
        <v>279</v>
      </c>
      <c r="E158" s="513"/>
      <c r="F158" s="548">
        <v>1</v>
      </c>
      <c r="G158" s="527"/>
      <c r="H158" s="591"/>
    </row>
    <row r="159" spans="1:8" ht="16.55" customHeight="1">
      <c r="A159" s="568">
        <v>30</v>
      </c>
      <c r="B159" s="520" t="s">
        <v>383</v>
      </c>
      <c r="C159" s="521"/>
      <c r="D159" s="522" t="s">
        <v>384</v>
      </c>
      <c r="E159" s="523">
        <v>3</v>
      </c>
      <c r="F159" s="539">
        <v>15</v>
      </c>
      <c r="G159" s="529">
        <f>SUM(F159:F167)</f>
        <v>45</v>
      </c>
      <c r="H159" s="557"/>
    </row>
    <row r="160" spans="1:8" ht="16.55" customHeight="1">
      <c r="A160" s="551"/>
      <c r="B160" s="564" t="s">
        <v>385</v>
      </c>
      <c r="C160" s="526"/>
      <c r="D160" s="564" t="s">
        <v>386</v>
      </c>
      <c r="E160" s="512">
        <v>3</v>
      </c>
      <c r="F160" s="512">
        <v>15</v>
      </c>
      <c r="G160" s="529"/>
      <c r="H160" s="557"/>
    </row>
    <row r="161" spans="1:8" ht="16.55" customHeight="1">
      <c r="A161" s="551"/>
      <c r="B161" s="564"/>
      <c r="C161" s="526"/>
      <c r="D161" s="564" t="s">
        <v>387</v>
      </c>
      <c r="E161" s="512">
        <v>4</v>
      </c>
      <c r="F161" s="512">
        <v>8</v>
      </c>
      <c r="G161" s="529"/>
      <c r="H161" s="557"/>
    </row>
    <row r="162" spans="1:8" ht="16.55" customHeight="1">
      <c r="A162" s="551"/>
      <c r="B162" s="564"/>
      <c r="C162" s="526"/>
      <c r="D162" s="511" t="s">
        <v>388</v>
      </c>
      <c r="E162" s="512">
        <v>1</v>
      </c>
      <c r="F162" s="512">
        <v>2</v>
      </c>
      <c r="G162" s="529"/>
      <c r="H162" s="557"/>
    </row>
    <row r="163" spans="1:8" ht="16.55" customHeight="1">
      <c r="A163" s="551"/>
      <c r="B163" s="564"/>
      <c r="C163" s="526"/>
      <c r="D163" s="511" t="s">
        <v>389</v>
      </c>
      <c r="E163" s="512">
        <v>1</v>
      </c>
      <c r="F163" s="512">
        <v>2</v>
      </c>
      <c r="G163" s="529"/>
      <c r="H163" s="557"/>
    </row>
    <row r="164" spans="1:8" ht="16.55" customHeight="1">
      <c r="A164" s="551"/>
      <c r="B164" s="564"/>
      <c r="C164" s="526"/>
      <c r="D164" s="511" t="s">
        <v>390</v>
      </c>
      <c r="E164" s="512"/>
      <c r="F164" s="512"/>
      <c r="G164" s="529"/>
      <c r="H164" s="557"/>
    </row>
    <row r="165" spans="1:8" ht="16.55" customHeight="1">
      <c r="A165" s="551"/>
      <c r="B165" s="564"/>
      <c r="C165" s="526"/>
      <c r="D165" s="511" t="s">
        <v>391</v>
      </c>
      <c r="E165" s="512"/>
      <c r="F165" s="512"/>
      <c r="G165" s="529"/>
      <c r="H165" s="557"/>
    </row>
    <row r="166" spans="1:8" ht="16.55" customHeight="1">
      <c r="A166" s="551"/>
      <c r="B166" s="564"/>
      <c r="C166" s="526"/>
      <c r="D166" s="511" t="s">
        <v>392</v>
      </c>
      <c r="E166" s="512"/>
      <c r="F166" s="512">
        <v>2</v>
      </c>
      <c r="G166" s="529"/>
      <c r="H166" s="557"/>
    </row>
    <row r="167" spans="1:8" ht="16.55" customHeight="1">
      <c r="A167" s="551"/>
      <c r="B167" s="575"/>
      <c r="C167" s="531"/>
      <c r="D167" s="532" t="s">
        <v>393</v>
      </c>
      <c r="E167" s="518"/>
      <c r="F167" s="518">
        <v>1</v>
      </c>
      <c r="G167" s="527"/>
      <c r="H167" s="578"/>
    </row>
    <row r="168" spans="1:8" ht="16.55" customHeight="1">
      <c r="A168" s="568">
        <v>31</v>
      </c>
      <c r="B168" s="561" t="s">
        <v>394</v>
      </c>
      <c r="C168" s="521"/>
      <c r="D168" s="522" t="s">
        <v>395</v>
      </c>
      <c r="E168" s="523">
        <v>3</v>
      </c>
      <c r="F168" s="523">
        <v>15</v>
      </c>
      <c r="G168" s="524">
        <f>SUM(F168:F174)</f>
        <v>38</v>
      </c>
      <c r="H168" s="540"/>
    </row>
    <row r="169" spans="1:8" ht="16.55" customHeight="1">
      <c r="A169" s="551"/>
      <c r="B169" s="564" t="s">
        <v>396</v>
      </c>
      <c r="C169" s="526"/>
      <c r="D169" s="511" t="s">
        <v>397</v>
      </c>
      <c r="E169" s="512">
        <v>3</v>
      </c>
      <c r="F169" s="512">
        <v>6</v>
      </c>
      <c r="G169" s="529"/>
      <c r="H169" s="557"/>
    </row>
    <row r="170" spans="1:8" ht="16.55" customHeight="1">
      <c r="A170" s="551"/>
      <c r="B170" s="564"/>
      <c r="C170" s="526"/>
      <c r="D170" s="511" t="s">
        <v>398</v>
      </c>
      <c r="E170" s="512"/>
      <c r="F170" s="512">
        <v>2</v>
      </c>
      <c r="G170" s="529"/>
      <c r="H170" s="557"/>
    </row>
    <row r="171" spans="1:8" ht="16.55" customHeight="1">
      <c r="A171" s="551"/>
      <c r="B171" s="564"/>
      <c r="C171" s="526"/>
      <c r="D171" s="511" t="s">
        <v>399</v>
      </c>
      <c r="E171" s="512"/>
      <c r="F171" s="512">
        <v>12</v>
      </c>
      <c r="G171" s="529"/>
      <c r="H171" s="557"/>
    </row>
    <row r="172" spans="1:8" ht="16.55" customHeight="1">
      <c r="A172" s="551"/>
      <c r="B172" s="564"/>
      <c r="C172" s="526"/>
      <c r="D172" s="511" t="s">
        <v>400</v>
      </c>
      <c r="E172" s="512">
        <v>1</v>
      </c>
      <c r="F172" s="513">
        <v>2</v>
      </c>
      <c r="G172" s="529"/>
      <c r="H172" s="557"/>
    </row>
    <row r="173" spans="1:8" ht="16.55" customHeight="1">
      <c r="A173" s="551"/>
      <c r="B173" s="564"/>
      <c r="C173" s="526"/>
      <c r="D173" s="511" t="s">
        <v>401</v>
      </c>
      <c r="E173" s="512"/>
      <c r="F173" s="512"/>
      <c r="G173" s="529"/>
      <c r="H173" s="557"/>
    </row>
    <row r="174" spans="1:8" ht="16.55" customHeight="1">
      <c r="A174" s="551"/>
      <c r="B174" s="575"/>
      <c r="C174" s="531"/>
      <c r="D174" s="532" t="s">
        <v>402</v>
      </c>
      <c r="E174" s="518"/>
      <c r="F174" s="518">
        <v>1</v>
      </c>
      <c r="G174" s="527"/>
      <c r="H174" s="578"/>
    </row>
    <row r="175" spans="1:8" ht="16.55" customHeight="1">
      <c r="A175" s="568">
        <v>32</v>
      </c>
      <c r="B175" s="520" t="s">
        <v>403</v>
      </c>
      <c r="C175" s="521"/>
      <c r="D175" s="522" t="s">
        <v>404</v>
      </c>
      <c r="E175" s="523">
        <v>7</v>
      </c>
      <c r="F175" s="523">
        <v>21</v>
      </c>
      <c r="G175" s="524">
        <f>SUM(F175:F180)</f>
        <v>26</v>
      </c>
      <c r="H175" s="592"/>
    </row>
    <row r="176" spans="1:8" ht="16.55" customHeight="1">
      <c r="A176" s="551"/>
      <c r="B176" s="525" t="s">
        <v>405</v>
      </c>
      <c r="C176" s="526"/>
      <c r="D176" s="511" t="s">
        <v>406</v>
      </c>
      <c r="E176" s="512"/>
      <c r="F176" s="512">
        <v>2</v>
      </c>
      <c r="G176" s="529"/>
      <c r="H176" s="593"/>
    </row>
    <row r="177" spans="1:8" ht="16.55" customHeight="1">
      <c r="A177" s="551"/>
      <c r="B177" s="525"/>
      <c r="C177" s="526"/>
      <c r="D177" s="511" t="s">
        <v>407</v>
      </c>
      <c r="E177" s="512"/>
      <c r="F177" s="512"/>
      <c r="G177" s="529"/>
      <c r="H177" s="593"/>
    </row>
    <row r="178" spans="1:8" ht="16.55" customHeight="1">
      <c r="A178" s="551"/>
      <c r="B178" s="525"/>
      <c r="C178" s="526"/>
      <c r="D178" s="511" t="s">
        <v>408</v>
      </c>
      <c r="E178" s="512"/>
      <c r="F178" s="512"/>
      <c r="G178" s="529"/>
      <c r="H178" s="593"/>
    </row>
    <row r="179" spans="1:8" ht="16.55" customHeight="1">
      <c r="A179" s="551"/>
      <c r="B179" s="525"/>
      <c r="C179" s="526"/>
      <c r="D179" s="511" t="s">
        <v>409</v>
      </c>
      <c r="E179" s="512"/>
      <c r="F179" s="512">
        <v>2</v>
      </c>
      <c r="G179" s="529"/>
      <c r="H179" s="593"/>
    </row>
    <row r="180" spans="1:8" ht="16.55" customHeight="1">
      <c r="A180" s="515"/>
      <c r="B180" s="516"/>
      <c r="C180" s="531"/>
      <c r="D180" s="532" t="s">
        <v>257</v>
      </c>
      <c r="E180" s="518"/>
      <c r="F180" s="518">
        <v>1</v>
      </c>
      <c r="G180" s="527"/>
      <c r="H180" s="593"/>
    </row>
    <row r="181" spans="1:8" ht="16.55" customHeight="1">
      <c r="A181" s="551">
        <v>33</v>
      </c>
      <c r="B181" s="564" t="s">
        <v>410</v>
      </c>
      <c r="C181" s="565"/>
      <c r="D181" s="511" t="s">
        <v>411</v>
      </c>
      <c r="E181" s="548">
        <v>7</v>
      </c>
      <c r="F181" s="512">
        <v>35</v>
      </c>
      <c r="G181" s="529">
        <f>F181+F182+F183+F186+F184</f>
        <v>42</v>
      </c>
      <c r="H181" s="580"/>
    </row>
    <row r="182" spans="1:8" ht="16.55" customHeight="1">
      <c r="A182" s="551"/>
      <c r="B182" s="564" t="s">
        <v>412</v>
      </c>
      <c r="C182" s="565"/>
      <c r="D182" s="511" t="s">
        <v>413</v>
      </c>
      <c r="E182" s="548"/>
      <c r="F182" s="512">
        <v>2</v>
      </c>
      <c r="G182" s="529"/>
      <c r="H182" s="580"/>
    </row>
    <row r="183" spans="1:8" ht="16.55" customHeight="1">
      <c r="A183" s="551"/>
      <c r="B183" s="564"/>
      <c r="C183" s="565"/>
      <c r="D183" s="511" t="s">
        <v>414</v>
      </c>
      <c r="E183" s="548"/>
      <c r="F183" s="512">
        <v>2</v>
      </c>
      <c r="G183" s="529"/>
      <c r="H183" s="580"/>
    </row>
    <row r="184" spans="1:8" ht="16.55" customHeight="1">
      <c r="A184" s="551"/>
      <c r="B184" s="564"/>
      <c r="C184" s="565"/>
      <c r="D184" s="511" t="s">
        <v>415</v>
      </c>
      <c r="E184" s="548"/>
      <c r="F184" s="512">
        <v>2</v>
      </c>
      <c r="G184" s="529"/>
      <c r="H184" s="580"/>
    </row>
    <row r="185" spans="1:8" ht="16.55" customHeight="1">
      <c r="A185" s="551"/>
      <c r="B185" s="564"/>
      <c r="C185" s="565"/>
      <c r="D185" s="511" t="s">
        <v>416</v>
      </c>
      <c r="E185" s="548"/>
      <c r="F185" s="512"/>
      <c r="G185" s="529"/>
      <c r="H185" s="580"/>
    </row>
    <row r="186" spans="1:8" ht="16.55" customHeight="1">
      <c r="A186" s="515"/>
      <c r="B186" s="575"/>
      <c r="C186" s="576"/>
      <c r="D186" s="532" t="s">
        <v>257</v>
      </c>
      <c r="E186" s="577"/>
      <c r="F186" s="518">
        <v>1</v>
      </c>
      <c r="G186" s="527"/>
      <c r="H186" s="581"/>
    </row>
    <row r="187" spans="1:8" ht="16.55" customHeight="1">
      <c r="A187" s="568">
        <v>34</v>
      </c>
      <c r="B187" s="520" t="s">
        <v>417</v>
      </c>
      <c r="C187" s="562"/>
      <c r="D187" s="522" t="s">
        <v>418</v>
      </c>
      <c r="E187" s="560">
        <v>7</v>
      </c>
      <c r="F187" s="523">
        <v>21</v>
      </c>
      <c r="G187" s="524">
        <f>SUM(F187:F191)</f>
        <v>36</v>
      </c>
      <c r="H187" s="574"/>
    </row>
    <row r="188" spans="1:8" ht="16.55" customHeight="1">
      <c r="A188" s="551"/>
      <c r="B188" s="525" t="s">
        <v>419</v>
      </c>
      <c r="C188" s="565"/>
      <c r="D188" s="511" t="s">
        <v>420</v>
      </c>
      <c r="E188" s="548">
        <v>2</v>
      </c>
      <c r="F188" s="512">
        <v>10</v>
      </c>
      <c r="G188" s="529"/>
      <c r="H188" s="549"/>
    </row>
    <row r="189" spans="1:8" ht="16.55" customHeight="1">
      <c r="A189" s="551"/>
      <c r="B189" s="525"/>
      <c r="C189" s="565"/>
      <c r="D189" s="511" t="s">
        <v>421</v>
      </c>
      <c r="E189" s="548"/>
      <c r="F189" s="512">
        <v>2</v>
      </c>
      <c r="G189" s="529"/>
      <c r="H189" s="549"/>
    </row>
    <row r="190" spans="1:8" ht="16.55" customHeight="1">
      <c r="A190" s="551"/>
      <c r="B190" s="525"/>
      <c r="C190" s="565"/>
      <c r="D190" s="511" t="s">
        <v>422</v>
      </c>
      <c r="E190" s="548">
        <v>1</v>
      </c>
      <c r="F190" s="512">
        <v>2</v>
      </c>
      <c r="G190" s="529"/>
      <c r="H190" s="549"/>
    </row>
    <row r="191" spans="1:8" ht="16.55" customHeight="1">
      <c r="A191" s="551"/>
      <c r="B191" s="525"/>
      <c r="C191" s="565"/>
      <c r="D191" s="511" t="s">
        <v>279</v>
      </c>
      <c r="E191" s="548"/>
      <c r="F191" s="512">
        <v>1</v>
      </c>
      <c r="G191" s="529"/>
      <c r="H191" s="549"/>
    </row>
    <row r="192" spans="1:8" ht="16.55" customHeight="1">
      <c r="A192" s="568">
        <v>35</v>
      </c>
      <c r="B192" s="520" t="s">
        <v>423</v>
      </c>
      <c r="C192" s="562"/>
      <c r="D192" s="522" t="s">
        <v>424</v>
      </c>
      <c r="E192" s="560">
        <v>7</v>
      </c>
      <c r="F192" s="523">
        <v>21</v>
      </c>
      <c r="G192" s="524">
        <f>F192+F193+F194+F195+F196</f>
        <v>36</v>
      </c>
      <c r="H192" s="574"/>
    </row>
    <row r="193" spans="1:8" ht="16.55" customHeight="1">
      <c r="A193" s="551"/>
      <c r="B193" s="525" t="s">
        <v>425</v>
      </c>
      <c r="C193" s="565"/>
      <c r="D193" s="511" t="s">
        <v>426</v>
      </c>
      <c r="E193" s="548">
        <v>2</v>
      </c>
      <c r="F193" s="513">
        <v>10</v>
      </c>
      <c r="G193" s="529"/>
      <c r="H193" s="549"/>
    </row>
    <row r="194" spans="1:8" ht="16.55" customHeight="1">
      <c r="A194" s="551"/>
      <c r="B194" s="525"/>
      <c r="C194" s="565"/>
      <c r="D194" s="511" t="s">
        <v>427</v>
      </c>
      <c r="E194" s="548"/>
      <c r="F194" s="512">
        <v>2</v>
      </c>
      <c r="G194" s="529"/>
      <c r="H194" s="549"/>
    </row>
    <row r="195" spans="1:8" ht="16.55" customHeight="1">
      <c r="A195" s="551"/>
      <c r="B195" s="525"/>
      <c r="C195" s="565"/>
      <c r="D195" s="511" t="s">
        <v>428</v>
      </c>
      <c r="E195" s="548"/>
      <c r="F195" s="512">
        <v>2</v>
      </c>
      <c r="G195" s="529"/>
      <c r="H195" s="549"/>
    </row>
    <row r="196" spans="1:8" ht="16.55" customHeight="1">
      <c r="A196" s="551"/>
      <c r="B196" s="525"/>
      <c r="C196" s="565"/>
      <c r="D196" s="511" t="s">
        <v>279</v>
      </c>
      <c r="E196" s="548"/>
      <c r="F196" s="512">
        <v>1</v>
      </c>
      <c r="G196" s="529"/>
      <c r="H196" s="549"/>
    </row>
    <row r="197" spans="1:8" ht="16.55" customHeight="1">
      <c r="A197" s="568">
        <v>36</v>
      </c>
      <c r="B197" s="561" t="s">
        <v>429</v>
      </c>
      <c r="C197" s="562"/>
      <c r="D197" s="522" t="s">
        <v>430</v>
      </c>
      <c r="E197" s="539">
        <v>10</v>
      </c>
      <c r="F197" s="539">
        <v>36</v>
      </c>
      <c r="G197" s="524">
        <f>F197+F198+F199+F200</f>
        <v>41</v>
      </c>
      <c r="H197" s="594"/>
    </row>
    <row r="198" spans="1:8" ht="16.55" customHeight="1">
      <c r="A198" s="595"/>
      <c r="B198" s="564" t="s">
        <v>431</v>
      </c>
      <c r="C198" s="565"/>
      <c r="D198" s="511" t="s">
        <v>432</v>
      </c>
      <c r="E198" s="596"/>
      <c r="F198" s="513">
        <v>2</v>
      </c>
      <c r="G198" s="529"/>
      <c r="H198" s="597"/>
    </row>
    <row r="199" spans="1:8" ht="16.55" customHeight="1">
      <c r="A199" s="595"/>
      <c r="B199" s="564"/>
      <c r="C199" s="565"/>
      <c r="D199" s="511" t="s">
        <v>433</v>
      </c>
      <c r="E199" s="513">
        <v>1</v>
      </c>
      <c r="F199" s="513">
        <v>2</v>
      </c>
      <c r="G199" s="529"/>
      <c r="H199" s="598"/>
    </row>
    <row r="200" spans="1:8" ht="16.55" customHeight="1">
      <c r="A200" s="595"/>
      <c r="B200" s="564"/>
      <c r="C200" s="565"/>
      <c r="D200" s="511" t="s">
        <v>272</v>
      </c>
      <c r="E200" s="596"/>
      <c r="F200" s="513">
        <v>1</v>
      </c>
      <c r="G200" s="527"/>
      <c r="H200" s="598"/>
    </row>
    <row r="201" spans="1:8" ht="16.55" customHeight="1">
      <c r="A201" s="568">
        <v>37</v>
      </c>
      <c r="B201" s="561" t="s">
        <v>434</v>
      </c>
      <c r="C201" s="562"/>
      <c r="D201" s="522" t="s">
        <v>435</v>
      </c>
      <c r="E201" s="539">
        <v>2</v>
      </c>
      <c r="F201" s="539">
        <v>8</v>
      </c>
      <c r="G201" s="524">
        <f>F201+F205+F202+F204+F203</f>
        <v>33</v>
      </c>
      <c r="H201" s="594"/>
    </row>
    <row r="202" spans="1:8" ht="16.55" customHeight="1">
      <c r="A202" s="551"/>
      <c r="B202" s="525" t="s">
        <v>436</v>
      </c>
      <c r="C202" s="565"/>
      <c r="D202" s="511" t="s">
        <v>437</v>
      </c>
      <c r="E202" s="513">
        <v>4</v>
      </c>
      <c r="F202" s="513">
        <v>20</v>
      </c>
      <c r="G202" s="529"/>
      <c r="H202" s="598"/>
    </row>
    <row r="203" spans="1:8" ht="16.55" customHeight="1">
      <c r="A203" s="551"/>
      <c r="B203" s="564"/>
      <c r="C203" s="565"/>
      <c r="D203" s="511" t="s">
        <v>438</v>
      </c>
      <c r="E203" s="513"/>
      <c r="F203" s="513">
        <v>2</v>
      </c>
      <c r="G203" s="529"/>
      <c r="H203" s="598"/>
    </row>
    <row r="204" spans="1:8" ht="16.55" customHeight="1">
      <c r="A204" s="551"/>
      <c r="B204" s="564"/>
      <c r="C204" s="565"/>
      <c r="D204" s="511" t="s">
        <v>439</v>
      </c>
      <c r="E204" s="513">
        <v>1</v>
      </c>
      <c r="F204" s="513">
        <v>2</v>
      </c>
      <c r="G204" s="529"/>
      <c r="H204" s="598"/>
    </row>
    <row r="205" spans="1:8" ht="16.55" customHeight="1">
      <c r="A205" s="599"/>
      <c r="B205" s="575"/>
      <c r="C205" s="576"/>
      <c r="D205" s="532" t="s">
        <v>279</v>
      </c>
      <c r="E205" s="600"/>
      <c r="F205" s="517">
        <v>1</v>
      </c>
      <c r="G205" s="527"/>
      <c r="H205" s="601"/>
    </row>
    <row r="206" spans="1:8" ht="16.55" customHeight="1">
      <c r="A206" s="551">
        <v>38</v>
      </c>
      <c r="B206" s="602" t="s">
        <v>440</v>
      </c>
      <c r="C206" s="565"/>
      <c r="D206" s="511" t="s">
        <v>441</v>
      </c>
      <c r="E206" s="513">
        <v>13</v>
      </c>
      <c r="F206" s="513">
        <v>26</v>
      </c>
      <c r="G206" s="524">
        <f>F206+F209+F207+F208</f>
        <v>31</v>
      </c>
      <c r="H206" s="598"/>
    </row>
    <row r="207" spans="1:8" ht="16.55" customHeight="1">
      <c r="A207" s="551"/>
      <c r="B207" s="525" t="s">
        <v>442</v>
      </c>
      <c r="C207" s="565"/>
      <c r="D207" s="511" t="s">
        <v>443</v>
      </c>
      <c r="E207" s="513"/>
      <c r="F207" s="513">
        <v>2</v>
      </c>
      <c r="G207" s="529"/>
      <c r="H207" s="598"/>
    </row>
    <row r="208" spans="1:8" ht="16.55" customHeight="1">
      <c r="A208" s="551"/>
      <c r="B208" s="525"/>
      <c r="C208" s="565"/>
      <c r="D208" s="511" t="s">
        <v>444</v>
      </c>
      <c r="E208" s="513">
        <v>1</v>
      </c>
      <c r="F208" s="513">
        <v>2</v>
      </c>
      <c r="G208" s="529"/>
      <c r="H208" s="598"/>
    </row>
    <row r="209" spans="1:8" ht="16.55" customHeight="1" thickBot="1">
      <c r="A209" s="603"/>
      <c r="B209" s="604"/>
      <c r="C209" s="605"/>
      <c r="D209" s="606" t="s">
        <v>272</v>
      </c>
      <c r="E209" s="607"/>
      <c r="F209" s="607">
        <v>1</v>
      </c>
      <c r="G209" s="608"/>
      <c r="H209" s="609"/>
    </row>
    <row r="210" spans="1:8" ht="16.55" customHeight="1" thickTop="1">
      <c r="A210" s="610"/>
      <c r="B210" s="567"/>
      <c r="C210" s="611"/>
      <c r="D210" s="567"/>
      <c r="E210" s="610"/>
      <c r="F210" s="610"/>
      <c r="G210" s="610"/>
      <c r="H210" s="611"/>
    </row>
    <row r="211" spans="1:8" ht="17.149999999999999">
      <c r="A211" s="611"/>
      <c r="B211" s="611"/>
      <c r="C211" s="611"/>
      <c r="D211" s="567"/>
      <c r="E211" s="565" t="s">
        <v>445</v>
      </c>
      <c r="F211" s="612"/>
      <c r="G211" s="612"/>
      <c r="H211" s="611"/>
    </row>
    <row r="212" spans="1:8" ht="17.149999999999999">
      <c r="A212" s="611"/>
      <c r="B212" s="611"/>
      <c r="C212" s="611"/>
      <c r="D212" s="567"/>
      <c r="E212" s="565" t="s">
        <v>446</v>
      </c>
      <c r="F212" s="612"/>
      <c r="G212" s="612"/>
      <c r="H212" s="611"/>
    </row>
    <row r="213" spans="1:8" ht="17.149999999999999">
      <c r="A213" s="611"/>
      <c r="B213" s="611"/>
      <c r="C213" s="611"/>
      <c r="D213" s="567"/>
      <c r="E213" s="565"/>
      <c r="F213" s="612"/>
      <c r="G213" s="612"/>
      <c r="H213" s="611"/>
    </row>
    <row r="214" spans="1:8" ht="17.149999999999999">
      <c r="A214" s="611"/>
      <c r="B214" s="611"/>
      <c r="C214" s="611"/>
      <c r="D214" s="567"/>
      <c r="E214" s="565"/>
      <c r="F214" s="612"/>
      <c r="G214" s="612"/>
      <c r="H214" s="611"/>
    </row>
    <row r="215" spans="1:8" ht="17.149999999999999">
      <c r="A215" s="611"/>
      <c r="B215" s="611"/>
      <c r="C215" s="611"/>
      <c r="D215" s="567"/>
      <c r="E215" s="565"/>
      <c r="F215" s="612"/>
      <c r="G215" s="612"/>
      <c r="H215" s="611"/>
    </row>
    <row r="216" spans="1:8" ht="16.649999999999999">
      <c r="A216" s="611"/>
      <c r="B216" s="611"/>
      <c r="C216" s="611"/>
      <c r="D216" s="567"/>
      <c r="E216" s="613" t="s">
        <v>447</v>
      </c>
      <c r="F216" s="614"/>
      <c r="G216" s="614"/>
      <c r="H216" s="611"/>
    </row>
    <row r="217" spans="1:8" ht="17.149999999999999">
      <c r="A217" s="611"/>
      <c r="B217" s="611"/>
      <c r="C217" s="611"/>
      <c r="D217" s="567"/>
      <c r="E217" s="565" t="s">
        <v>224</v>
      </c>
      <c r="F217" s="612"/>
      <c r="G217" s="612"/>
      <c r="H217" s="611"/>
    </row>
  </sheetData>
  <mergeCells count="61">
    <mergeCell ref="G206:G209"/>
    <mergeCell ref="G175:G180"/>
    <mergeCell ref="G181:G186"/>
    <mergeCell ref="G187:G191"/>
    <mergeCell ref="G192:G196"/>
    <mergeCell ref="G197:G200"/>
    <mergeCell ref="G201:G205"/>
    <mergeCell ref="G154:G158"/>
    <mergeCell ref="H154:H158"/>
    <mergeCell ref="G159:G167"/>
    <mergeCell ref="H159:H167"/>
    <mergeCell ref="G168:G174"/>
    <mergeCell ref="H168:H174"/>
    <mergeCell ref="G123:G126"/>
    <mergeCell ref="H123:H126"/>
    <mergeCell ref="G127:G131"/>
    <mergeCell ref="G132:G136"/>
    <mergeCell ref="H132:H136"/>
    <mergeCell ref="G149:G153"/>
    <mergeCell ref="G104:G109"/>
    <mergeCell ref="G110:G114"/>
    <mergeCell ref="H110:H114"/>
    <mergeCell ref="G115:G118"/>
    <mergeCell ref="H115:H118"/>
    <mergeCell ref="G119:G122"/>
    <mergeCell ref="G73:G76"/>
    <mergeCell ref="G86:G91"/>
    <mergeCell ref="G92:G94"/>
    <mergeCell ref="G95:G98"/>
    <mergeCell ref="G99:G103"/>
    <mergeCell ref="H99:H103"/>
    <mergeCell ref="G49:G53"/>
    <mergeCell ref="G54:G57"/>
    <mergeCell ref="G58:G62"/>
    <mergeCell ref="G63:G66"/>
    <mergeCell ref="G67:G72"/>
    <mergeCell ref="H67:H69"/>
    <mergeCell ref="G30:G32"/>
    <mergeCell ref="G33:G38"/>
    <mergeCell ref="G39:G40"/>
    <mergeCell ref="H39:H40"/>
    <mergeCell ref="G41:G44"/>
    <mergeCell ref="G45:G48"/>
    <mergeCell ref="H12:H14"/>
    <mergeCell ref="B15:C15"/>
    <mergeCell ref="G18:G19"/>
    <mergeCell ref="G20:G21"/>
    <mergeCell ref="G23:G24"/>
    <mergeCell ref="G26:G28"/>
    <mergeCell ref="A12:A14"/>
    <mergeCell ref="B12:C14"/>
    <mergeCell ref="D12:D14"/>
    <mergeCell ref="E12:E14"/>
    <mergeCell ref="F12:F14"/>
    <mergeCell ref="G12:G14"/>
    <mergeCell ref="A1:H1"/>
    <mergeCell ref="A2:H2"/>
    <mergeCell ref="A3:H3"/>
    <mergeCell ref="A4:H4"/>
    <mergeCell ref="A5:H5"/>
    <mergeCell ref="A10:H10"/>
  </mergeCells>
  <pageMargins left="0.55118110236220474" right="0.23622047244094491" top="0.5" bottom="0.35433070866141736" header="0.18" footer="0.70866141732283472"/>
  <pageSetup paperSize="5" scale="70" orientation="portrait" horizontalDpi="4294967293" r:id="rId1"/>
  <headerFooter alignWithMargins="0">
    <oddFooter xml:space="preserve">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B854-8DC5-46A8-B1D4-7C49BBC2196B}">
  <sheetPr>
    <tabColor rgb="FF8BE8ED"/>
  </sheetPr>
  <dimension ref="A2:AV160"/>
  <sheetViews>
    <sheetView topLeftCell="D1" zoomScaleNormal="100" zoomScalePageLayoutView="70" workbookViewId="0">
      <selection activeCell="G82" sqref="G82:AB82"/>
    </sheetView>
  </sheetViews>
  <sheetFormatPr defaultColWidth="9.1796875" defaultRowHeight="12.25"/>
  <cols>
    <col min="1" max="1" width="2.7265625" style="4" customWidth="1"/>
    <col min="2" max="3" width="3.7265625" style="4" customWidth="1"/>
    <col min="4" max="4" width="4.36328125" style="4" customWidth="1"/>
    <col min="5" max="5" width="11.90625" style="4" customWidth="1"/>
    <col min="6" max="6" width="4.453125" style="4" customWidth="1"/>
    <col min="7" max="28" width="5.26953125" style="4" customWidth="1"/>
    <col min="29" max="29" width="3.7265625" style="4" customWidth="1"/>
    <col min="30" max="33" width="5.26953125" style="4" customWidth="1"/>
    <col min="34" max="34" width="5.1796875" style="4" customWidth="1"/>
    <col min="35" max="258" width="9.1796875" style="4"/>
    <col min="259" max="261" width="3.7265625" style="4" customWidth="1"/>
    <col min="262" max="262" width="4.453125" style="4" customWidth="1"/>
    <col min="263" max="263" width="13.54296875" style="4" customWidth="1"/>
    <col min="264" max="264" width="9.1796875" style="4"/>
    <col min="265" max="284" width="5.26953125" style="4" customWidth="1"/>
    <col min="285" max="285" width="3.7265625" style="4" customWidth="1"/>
    <col min="286" max="289" width="5.26953125" style="4" customWidth="1"/>
    <col min="290" max="290" width="5.1796875" style="4" customWidth="1"/>
    <col min="291" max="514" width="9.1796875" style="4"/>
    <col min="515" max="517" width="3.7265625" style="4" customWidth="1"/>
    <col min="518" max="518" width="4.453125" style="4" customWidth="1"/>
    <col min="519" max="519" width="13.54296875" style="4" customWidth="1"/>
    <col min="520" max="520" width="9.1796875" style="4"/>
    <col min="521" max="540" width="5.26953125" style="4" customWidth="1"/>
    <col min="541" max="541" width="3.7265625" style="4" customWidth="1"/>
    <col min="542" max="545" width="5.26953125" style="4" customWidth="1"/>
    <col min="546" max="546" width="5.1796875" style="4" customWidth="1"/>
    <col min="547" max="770" width="9.1796875" style="4"/>
    <col min="771" max="773" width="3.7265625" style="4" customWidth="1"/>
    <col min="774" max="774" width="4.453125" style="4" customWidth="1"/>
    <col min="775" max="775" width="13.54296875" style="4" customWidth="1"/>
    <col min="776" max="776" width="9.1796875" style="4"/>
    <col min="777" max="796" width="5.26953125" style="4" customWidth="1"/>
    <col min="797" max="797" width="3.7265625" style="4" customWidth="1"/>
    <col min="798" max="801" width="5.26953125" style="4" customWidth="1"/>
    <col min="802" max="802" width="5.1796875" style="4" customWidth="1"/>
    <col min="803" max="1026" width="9.1796875" style="4"/>
    <col min="1027" max="1029" width="3.7265625" style="4" customWidth="1"/>
    <col min="1030" max="1030" width="4.453125" style="4" customWidth="1"/>
    <col min="1031" max="1031" width="13.54296875" style="4" customWidth="1"/>
    <col min="1032" max="1032" width="9.1796875" style="4"/>
    <col min="1033" max="1052" width="5.26953125" style="4" customWidth="1"/>
    <col min="1053" max="1053" width="3.7265625" style="4" customWidth="1"/>
    <col min="1054" max="1057" width="5.26953125" style="4" customWidth="1"/>
    <col min="1058" max="1058" width="5.1796875" style="4" customWidth="1"/>
    <col min="1059" max="1282" width="9.1796875" style="4"/>
    <col min="1283" max="1285" width="3.7265625" style="4" customWidth="1"/>
    <col min="1286" max="1286" width="4.453125" style="4" customWidth="1"/>
    <col min="1287" max="1287" width="13.54296875" style="4" customWidth="1"/>
    <col min="1288" max="1288" width="9.1796875" style="4"/>
    <col min="1289" max="1308" width="5.26953125" style="4" customWidth="1"/>
    <col min="1309" max="1309" width="3.7265625" style="4" customWidth="1"/>
    <col min="1310" max="1313" width="5.26953125" style="4" customWidth="1"/>
    <col min="1314" max="1314" width="5.1796875" style="4" customWidth="1"/>
    <col min="1315" max="1538" width="9.1796875" style="4"/>
    <col min="1539" max="1541" width="3.7265625" style="4" customWidth="1"/>
    <col min="1542" max="1542" width="4.453125" style="4" customWidth="1"/>
    <col min="1543" max="1543" width="13.54296875" style="4" customWidth="1"/>
    <col min="1544" max="1544" width="9.1796875" style="4"/>
    <col min="1545" max="1564" width="5.26953125" style="4" customWidth="1"/>
    <col min="1565" max="1565" width="3.7265625" style="4" customWidth="1"/>
    <col min="1566" max="1569" width="5.26953125" style="4" customWidth="1"/>
    <col min="1570" max="1570" width="5.1796875" style="4" customWidth="1"/>
    <col min="1571" max="1794" width="9.1796875" style="4"/>
    <col min="1795" max="1797" width="3.7265625" style="4" customWidth="1"/>
    <col min="1798" max="1798" width="4.453125" style="4" customWidth="1"/>
    <col min="1799" max="1799" width="13.54296875" style="4" customWidth="1"/>
    <col min="1800" max="1800" width="9.1796875" style="4"/>
    <col min="1801" max="1820" width="5.26953125" style="4" customWidth="1"/>
    <col min="1821" max="1821" width="3.7265625" style="4" customWidth="1"/>
    <col min="1822" max="1825" width="5.26953125" style="4" customWidth="1"/>
    <col min="1826" max="1826" width="5.1796875" style="4" customWidth="1"/>
    <col min="1827" max="2050" width="9.1796875" style="4"/>
    <col min="2051" max="2053" width="3.7265625" style="4" customWidth="1"/>
    <col min="2054" max="2054" width="4.453125" style="4" customWidth="1"/>
    <col min="2055" max="2055" width="13.54296875" style="4" customWidth="1"/>
    <col min="2056" max="2056" width="9.1796875" style="4"/>
    <col min="2057" max="2076" width="5.26953125" style="4" customWidth="1"/>
    <col min="2077" max="2077" width="3.7265625" style="4" customWidth="1"/>
    <col min="2078" max="2081" width="5.26953125" style="4" customWidth="1"/>
    <col min="2082" max="2082" width="5.1796875" style="4" customWidth="1"/>
    <col min="2083" max="2306" width="9.1796875" style="4"/>
    <col min="2307" max="2309" width="3.7265625" style="4" customWidth="1"/>
    <col min="2310" max="2310" width="4.453125" style="4" customWidth="1"/>
    <col min="2311" max="2311" width="13.54296875" style="4" customWidth="1"/>
    <col min="2312" max="2312" width="9.1796875" style="4"/>
    <col min="2313" max="2332" width="5.26953125" style="4" customWidth="1"/>
    <col min="2333" max="2333" width="3.7265625" style="4" customWidth="1"/>
    <col min="2334" max="2337" width="5.26953125" style="4" customWidth="1"/>
    <col min="2338" max="2338" width="5.1796875" style="4" customWidth="1"/>
    <col min="2339" max="2562" width="9.1796875" style="4"/>
    <col min="2563" max="2565" width="3.7265625" style="4" customWidth="1"/>
    <col min="2566" max="2566" width="4.453125" style="4" customWidth="1"/>
    <col min="2567" max="2567" width="13.54296875" style="4" customWidth="1"/>
    <col min="2568" max="2568" width="9.1796875" style="4"/>
    <col min="2569" max="2588" width="5.26953125" style="4" customWidth="1"/>
    <col min="2589" max="2589" width="3.7265625" style="4" customWidth="1"/>
    <col min="2590" max="2593" width="5.26953125" style="4" customWidth="1"/>
    <col min="2594" max="2594" width="5.1796875" style="4" customWidth="1"/>
    <col min="2595" max="2818" width="9.1796875" style="4"/>
    <col min="2819" max="2821" width="3.7265625" style="4" customWidth="1"/>
    <col min="2822" max="2822" width="4.453125" style="4" customWidth="1"/>
    <col min="2823" max="2823" width="13.54296875" style="4" customWidth="1"/>
    <col min="2824" max="2824" width="9.1796875" style="4"/>
    <col min="2825" max="2844" width="5.26953125" style="4" customWidth="1"/>
    <col min="2845" max="2845" width="3.7265625" style="4" customWidth="1"/>
    <col min="2846" max="2849" width="5.26953125" style="4" customWidth="1"/>
    <col min="2850" max="2850" width="5.1796875" style="4" customWidth="1"/>
    <col min="2851" max="3074" width="9.1796875" style="4"/>
    <col min="3075" max="3077" width="3.7265625" style="4" customWidth="1"/>
    <col min="3078" max="3078" width="4.453125" style="4" customWidth="1"/>
    <col min="3079" max="3079" width="13.54296875" style="4" customWidth="1"/>
    <col min="3080" max="3080" width="9.1796875" style="4"/>
    <col min="3081" max="3100" width="5.26953125" style="4" customWidth="1"/>
    <col min="3101" max="3101" width="3.7265625" style="4" customWidth="1"/>
    <col min="3102" max="3105" width="5.26953125" style="4" customWidth="1"/>
    <col min="3106" max="3106" width="5.1796875" style="4" customWidth="1"/>
    <col min="3107" max="3330" width="9.1796875" style="4"/>
    <col min="3331" max="3333" width="3.7265625" style="4" customWidth="1"/>
    <col min="3334" max="3334" width="4.453125" style="4" customWidth="1"/>
    <col min="3335" max="3335" width="13.54296875" style="4" customWidth="1"/>
    <col min="3336" max="3336" width="9.1796875" style="4"/>
    <col min="3337" max="3356" width="5.26953125" style="4" customWidth="1"/>
    <col min="3357" max="3357" width="3.7265625" style="4" customWidth="1"/>
    <col min="3358" max="3361" width="5.26953125" style="4" customWidth="1"/>
    <col min="3362" max="3362" width="5.1796875" style="4" customWidth="1"/>
    <col min="3363" max="3586" width="9.1796875" style="4"/>
    <col min="3587" max="3589" width="3.7265625" style="4" customWidth="1"/>
    <col min="3590" max="3590" width="4.453125" style="4" customWidth="1"/>
    <col min="3591" max="3591" width="13.54296875" style="4" customWidth="1"/>
    <col min="3592" max="3592" width="9.1796875" style="4"/>
    <col min="3593" max="3612" width="5.26953125" style="4" customWidth="1"/>
    <col min="3613" max="3613" width="3.7265625" style="4" customWidth="1"/>
    <col min="3614" max="3617" width="5.26953125" style="4" customWidth="1"/>
    <col min="3618" max="3618" width="5.1796875" style="4" customWidth="1"/>
    <col min="3619" max="3842" width="9.1796875" style="4"/>
    <col min="3843" max="3845" width="3.7265625" style="4" customWidth="1"/>
    <col min="3846" max="3846" width="4.453125" style="4" customWidth="1"/>
    <col min="3847" max="3847" width="13.54296875" style="4" customWidth="1"/>
    <col min="3848" max="3848" width="9.1796875" style="4"/>
    <col min="3849" max="3868" width="5.26953125" style="4" customWidth="1"/>
    <col min="3869" max="3869" width="3.7265625" style="4" customWidth="1"/>
    <col min="3870" max="3873" width="5.26953125" style="4" customWidth="1"/>
    <col min="3874" max="3874" width="5.1796875" style="4" customWidth="1"/>
    <col min="3875" max="4098" width="9.1796875" style="4"/>
    <col min="4099" max="4101" width="3.7265625" style="4" customWidth="1"/>
    <col min="4102" max="4102" width="4.453125" style="4" customWidth="1"/>
    <col min="4103" max="4103" width="13.54296875" style="4" customWidth="1"/>
    <col min="4104" max="4104" width="9.1796875" style="4"/>
    <col min="4105" max="4124" width="5.26953125" style="4" customWidth="1"/>
    <col min="4125" max="4125" width="3.7265625" style="4" customWidth="1"/>
    <col min="4126" max="4129" width="5.26953125" style="4" customWidth="1"/>
    <col min="4130" max="4130" width="5.1796875" style="4" customWidth="1"/>
    <col min="4131" max="4354" width="9.1796875" style="4"/>
    <col min="4355" max="4357" width="3.7265625" style="4" customWidth="1"/>
    <col min="4358" max="4358" width="4.453125" style="4" customWidth="1"/>
    <col min="4359" max="4359" width="13.54296875" style="4" customWidth="1"/>
    <col min="4360" max="4360" width="9.1796875" style="4"/>
    <col min="4361" max="4380" width="5.26953125" style="4" customWidth="1"/>
    <col min="4381" max="4381" width="3.7265625" style="4" customWidth="1"/>
    <col min="4382" max="4385" width="5.26953125" style="4" customWidth="1"/>
    <col min="4386" max="4386" width="5.1796875" style="4" customWidth="1"/>
    <col min="4387" max="4610" width="9.1796875" style="4"/>
    <col min="4611" max="4613" width="3.7265625" style="4" customWidth="1"/>
    <col min="4614" max="4614" width="4.453125" style="4" customWidth="1"/>
    <col min="4615" max="4615" width="13.54296875" style="4" customWidth="1"/>
    <col min="4616" max="4616" width="9.1796875" style="4"/>
    <col min="4617" max="4636" width="5.26953125" style="4" customWidth="1"/>
    <col min="4637" max="4637" width="3.7265625" style="4" customWidth="1"/>
    <col min="4638" max="4641" width="5.26953125" style="4" customWidth="1"/>
    <col min="4642" max="4642" width="5.1796875" style="4" customWidth="1"/>
    <col min="4643" max="4866" width="9.1796875" style="4"/>
    <col min="4867" max="4869" width="3.7265625" style="4" customWidth="1"/>
    <col min="4870" max="4870" width="4.453125" style="4" customWidth="1"/>
    <col min="4871" max="4871" width="13.54296875" style="4" customWidth="1"/>
    <col min="4872" max="4872" width="9.1796875" style="4"/>
    <col min="4873" max="4892" width="5.26953125" style="4" customWidth="1"/>
    <col min="4893" max="4893" width="3.7265625" style="4" customWidth="1"/>
    <col min="4894" max="4897" width="5.26953125" style="4" customWidth="1"/>
    <col min="4898" max="4898" width="5.1796875" style="4" customWidth="1"/>
    <col min="4899" max="5122" width="9.1796875" style="4"/>
    <col min="5123" max="5125" width="3.7265625" style="4" customWidth="1"/>
    <col min="5126" max="5126" width="4.453125" style="4" customWidth="1"/>
    <col min="5127" max="5127" width="13.54296875" style="4" customWidth="1"/>
    <col min="5128" max="5128" width="9.1796875" style="4"/>
    <col min="5129" max="5148" width="5.26953125" style="4" customWidth="1"/>
    <col min="5149" max="5149" width="3.7265625" style="4" customWidth="1"/>
    <col min="5150" max="5153" width="5.26953125" style="4" customWidth="1"/>
    <col min="5154" max="5154" width="5.1796875" style="4" customWidth="1"/>
    <col min="5155" max="5378" width="9.1796875" style="4"/>
    <col min="5379" max="5381" width="3.7265625" style="4" customWidth="1"/>
    <col min="5382" max="5382" width="4.453125" style="4" customWidth="1"/>
    <col min="5383" max="5383" width="13.54296875" style="4" customWidth="1"/>
    <col min="5384" max="5384" width="9.1796875" style="4"/>
    <col min="5385" max="5404" width="5.26953125" style="4" customWidth="1"/>
    <col min="5405" max="5405" width="3.7265625" style="4" customWidth="1"/>
    <col min="5406" max="5409" width="5.26953125" style="4" customWidth="1"/>
    <col min="5410" max="5410" width="5.1796875" style="4" customWidth="1"/>
    <col min="5411" max="5634" width="9.1796875" style="4"/>
    <col min="5635" max="5637" width="3.7265625" style="4" customWidth="1"/>
    <col min="5638" max="5638" width="4.453125" style="4" customWidth="1"/>
    <col min="5639" max="5639" width="13.54296875" style="4" customWidth="1"/>
    <col min="5640" max="5640" width="9.1796875" style="4"/>
    <col min="5641" max="5660" width="5.26953125" style="4" customWidth="1"/>
    <col min="5661" max="5661" width="3.7265625" style="4" customWidth="1"/>
    <col min="5662" max="5665" width="5.26953125" style="4" customWidth="1"/>
    <col min="5666" max="5666" width="5.1796875" style="4" customWidth="1"/>
    <col min="5667" max="5890" width="9.1796875" style="4"/>
    <col min="5891" max="5893" width="3.7265625" style="4" customWidth="1"/>
    <col min="5894" max="5894" width="4.453125" style="4" customWidth="1"/>
    <col min="5895" max="5895" width="13.54296875" style="4" customWidth="1"/>
    <col min="5896" max="5896" width="9.1796875" style="4"/>
    <col min="5897" max="5916" width="5.26953125" style="4" customWidth="1"/>
    <col min="5917" max="5917" width="3.7265625" style="4" customWidth="1"/>
    <col min="5918" max="5921" width="5.26953125" style="4" customWidth="1"/>
    <col min="5922" max="5922" width="5.1796875" style="4" customWidth="1"/>
    <col min="5923" max="6146" width="9.1796875" style="4"/>
    <col min="6147" max="6149" width="3.7265625" style="4" customWidth="1"/>
    <col min="6150" max="6150" width="4.453125" style="4" customWidth="1"/>
    <col min="6151" max="6151" width="13.54296875" style="4" customWidth="1"/>
    <col min="6152" max="6152" width="9.1796875" style="4"/>
    <col min="6153" max="6172" width="5.26953125" style="4" customWidth="1"/>
    <col min="6173" max="6173" width="3.7265625" style="4" customWidth="1"/>
    <col min="6174" max="6177" width="5.26953125" style="4" customWidth="1"/>
    <col min="6178" max="6178" width="5.1796875" style="4" customWidth="1"/>
    <col min="6179" max="6402" width="9.1796875" style="4"/>
    <col min="6403" max="6405" width="3.7265625" style="4" customWidth="1"/>
    <col min="6406" max="6406" width="4.453125" style="4" customWidth="1"/>
    <col min="6407" max="6407" width="13.54296875" style="4" customWidth="1"/>
    <col min="6408" max="6408" width="9.1796875" style="4"/>
    <col min="6409" max="6428" width="5.26953125" style="4" customWidth="1"/>
    <col min="6429" max="6429" width="3.7265625" style="4" customWidth="1"/>
    <col min="6430" max="6433" width="5.26953125" style="4" customWidth="1"/>
    <col min="6434" max="6434" width="5.1796875" style="4" customWidth="1"/>
    <col min="6435" max="6658" width="9.1796875" style="4"/>
    <col min="6659" max="6661" width="3.7265625" style="4" customWidth="1"/>
    <col min="6662" max="6662" width="4.453125" style="4" customWidth="1"/>
    <col min="6663" max="6663" width="13.54296875" style="4" customWidth="1"/>
    <col min="6664" max="6664" width="9.1796875" style="4"/>
    <col min="6665" max="6684" width="5.26953125" style="4" customWidth="1"/>
    <col min="6685" max="6685" width="3.7265625" style="4" customWidth="1"/>
    <col min="6686" max="6689" width="5.26953125" style="4" customWidth="1"/>
    <col min="6690" max="6690" width="5.1796875" style="4" customWidth="1"/>
    <col min="6691" max="6914" width="9.1796875" style="4"/>
    <col min="6915" max="6917" width="3.7265625" style="4" customWidth="1"/>
    <col min="6918" max="6918" width="4.453125" style="4" customWidth="1"/>
    <col min="6919" max="6919" width="13.54296875" style="4" customWidth="1"/>
    <col min="6920" max="6920" width="9.1796875" style="4"/>
    <col min="6921" max="6940" width="5.26953125" style="4" customWidth="1"/>
    <col min="6941" max="6941" width="3.7265625" style="4" customWidth="1"/>
    <col min="6942" max="6945" width="5.26953125" style="4" customWidth="1"/>
    <col min="6946" max="6946" width="5.1796875" style="4" customWidth="1"/>
    <col min="6947" max="7170" width="9.1796875" style="4"/>
    <col min="7171" max="7173" width="3.7265625" style="4" customWidth="1"/>
    <col min="7174" max="7174" width="4.453125" style="4" customWidth="1"/>
    <col min="7175" max="7175" width="13.54296875" style="4" customWidth="1"/>
    <col min="7176" max="7176" width="9.1796875" style="4"/>
    <col min="7177" max="7196" width="5.26953125" style="4" customWidth="1"/>
    <col min="7197" max="7197" width="3.7265625" style="4" customWidth="1"/>
    <col min="7198" max="7201" width="5.26953125" style="4" customWidth="1"/>
    <col min="7202" max="7202" width="5.1796875" style="4" customWidth="1"/>
    <col min="7203" max="7426" width="9.1796875" style="4"/>
    <col min="7427" max="7429" width="3.7265625" style="4" customWidth="1"/>
    <col min="7430" max="7430" width="4.453125" style="4" customWidth="1"/>
    <col min="7431" max="7431" width="13.54296875" style="4" customWidth="1"/>
    <col min="7432" max="7432" width="9.1796875" style="4"/>
    <col min="7433" max="7452" width="5.26953125" style="4" customWidth="1"/>
    <col min="7453" max="7453" width="3.7265625" style="4" customWidth="1"/>
    <col min="7454" max="7457" width="5.26953125" style="4" customWidth="1"/>
    <col min="7458" max="7458" width="5.1796875" style="4" customWidth="1"/>
    <col min="7459" max="7682" width="9.1796875" style="4"/>
    <col min="7683" max="7685" width="3.7265625" style="4" customWidth="1"/>
    <col min="7686" max="7686" width="4.453125" style="4" customWidth="1"/>
    <col min="7687" max="7687" width="13.54296875" style="4" customWidth="1"/>
    <col min="7688" max="7688" width="9.1796875" style="4"/>
    <col min="7689" max="7708" width="5.26953125" style="4" customWidth="1"/>
    <col min="7709" max="7709" width="3.7265625" style="4" customWidth="1"/>
    <col min="7710" max="7713" width="5.26953125" style="4" customWidth="1"/>
    <col min="7714" max="7714" width="5.1796875" style="4" customWidth="1"/>
    <col min="7715" max="7938" width="9.1796875" style="4"/>
    <col min="7939" max="7941" width="3.7265625" style="4" customWidth="1"/>
    <col min="7942" max="7942" width="4.453125" style="4" customWidth="1"/>
    <col min="7943" max="7943" width="13.54296875" style="4" customWidth="1"/>
    <col min="7944" max="7944" width="9.1796875" style="4"/>
    <col min="7945" max="7964" width="5.26953125" style="4" customWidth="1"/>
    <col min="7965" max="7965" width="3.7265625" style="4" customWidth="1"/>
    <col min="7966" max="7969" width="5.26953125" style="4" customWidth="1"/>
    <col min="7970" max="7970" width="5.1796875" style="4" customWidth="1"/>
    <col min="7971" max="8194" width="9.1796875" style="4"/>
    <col min="8195" max="8197" width="3.7265625" style="4" customWidth="1"/>
    <col min="8198" max="8198" width="4.453125" style="4" customWidth="1"/>
    <col min="8199" max="8199" width="13.54296875" style="4" customWidth="1"/>
    <col min="8200" max="8200" width="9.1796875" style="4"/>
    <col min="8201" max="8220" width="5.26953125" style="4" customWidth="1"/>
    <col min="8221" max="8221" width="3.7265625" style="4" customWidth="1"/>
    <col min="8222" max="8225" width="5.26953125" style="4" customWidth="1"/>
    <col min="8226" max="8226" width="5.1796875" style="4" customWidth="1"/>
    <col min="8227" max="8450" width="9.1796875" style="4"/>
    <col min="8451" max="8453" width="3.7265625" style="4" customWidth="1"/>
    <col min="8454" max="8454" width="4.453125" style="4" customWidth="1"/>
    <col min="8455" max="8455" width="13.54296875" style="4" customWidth="1"/>
    <col min="8456" max="8456" width="9.1796875" style="4"/>
    <col min="8457" max="8476" width="5.26953125" style="4" customWidth="1"/>
    <col min="8477" max="8477" width="3.7265625" style="4" customWidth="1"/>
    <col min="8478" max="8481" width="5.26953125" style="4" customWidth="1"/>
    <col min="8482" max="8482" width="5.1796875" style="4" customWidth="1"/>
    <col min="8483" max="8706" width="9.1796875" style="4"/>
    <col min="8707" max="8709" width="3.7265625" style="4" customWidth="1"/>
    <col min="8710" max="8710" width="4.453125" style="4" customWidth="1"/>
    <col min="8711" max="8711" width="13.54296875" style="4" customWidth="1"/>
    <col min="8712" max="8712" width="9.1796875" style="4"/>
    <col min="8713" max="8732" width="5.26953125" style="4" customWidth="1"/>
    <col min="8733" max="8733" width="3.7265625" style="4" customWidth="1"/>
    <col min="8734" max="8737" width="5.26953125" style="4" customWidth="1"/>
    <col min="8738" max="8738" width="5.1796875" style="4" customWidth="1"/>
    <col min="8739" max="8962" width="9.1796875" style="4"/>
    <col min="8963" max="8965" width="3.7265625" style="4" customWidth="1"/>
    <col min="8966" max="8966" width="4.453125" style="4" customWidth="1"/>
    <col min="8967" max="8967" width="13.54296875" style="4" customWidth="1"/>
    <col min="8968" max="8968" width="9.1796875" style="4"/>
    <col min="8969" max="8988" width="5.26953125" style="4" customWidth="1"/>
    <col min="8989" max="8989" width="3.7265625" style="4" customWidth="1"/>
    <col min="8990" max="8993" width="5.26953125" style="4" customWidth="1"/>
    <col min="8994" max="8994" width="5.1796875" style="4" customWidth="1"/>
    <col min="8995" max="9218" width="9.1796875" style="4"/>
    <col min="9219" max="9221" width="3.7265625" style="4" customWidth="1"/>
    <col min="9222" max="9222" width="4.453125" style="4" customWidth="1"/>
    <col min="9223" max="9223" width="13.54296875" style="4" customWidth="1"/>
    <col min="9224" max="9224" width="9.1796875" style="4"/>
    <col min="9225" max="9244" width="5.26953125" style="4" customWidth="1"/>
    <col min="9245" max="9245" width="3.7265625" style="4" customWidth="1"/>
    <col min="9246" max="9249" width="5.26953125" style="4" customWidth="1"/>
    <col min="9250" max="9250" width="5.1796875" style="4" customWidth="1"/>
    <col min="9251" max="9474" width="9.1796875" style="4"/>
    <col min="9475" max="9477" width="3.7265625" style="4" customWidth="1"/>
    <col min="9478" max="9478" width="4.453125" style="4" customWidth="1"/>
    <col min="9479" max="9479" width="13.54296875" style="4" customWidth="1"/>
    <col min="9480" max="9480" width="9.1796875" style="4"/>
    <col min="9481" max="9500" width="5.26953125" style="4" customWidth="1"/>
    <col min="9501" max="9501" width="3.7265625" style="4" customWidth="1"/>
    <col min="9502" max="9505" width="5.26953125" style="4" customWidth="1"/>
    <col min="9506" max="9506" width="5.1796875" style="4" customWidth="1"/>
    <col min="9507" max="9730" width="9.1796875" style="4"/>
    <col min="9731" max="9733" width="3.7265625" style="4" customWidth="1"/>
    <col min="9734" max="9734" width="4.453125" style="4" customWidth="1"/>
    <col min="9735" max="9735" width="13.54296875" style="4" customWidth="1"/>
    <col min="9736" max="9736" width="9.1796875" style="4"/>
    <col min="9737" max="9756" width="5.26953125" style="4" customWidth="1"/>
    <col min="9757" max="9757" width="3.7265625" style="4" customWidth="1"/>
    <col min="9758" max="9761" width="5.26953125" style="4" customWidth="1"/>
    <col min="9762" max="9762" width="5.1796875" style="4" customWidth="1"/>
    <col min="9763" max="9986" width="9.1796875" style="4"/>
    <col min="9987" max="9989" width="3.7265625" style="4" customWidth="1"/>
    <col min="9990" max="9990" width="4.453125" style="4" customWidth="1"/>
    <col min="9991" max="9991" width="13.54296875" style="4" customWidth="1"/>
    <col min="9992" max="9992" width="9.1796875" style="4"/>
    <col min="9993" max="10012" width="5.26953125" style="4" customWidth="1"/>
    <col min="10013" max="10013" width="3.7265625" style="4" customWidth="1"/>
    <col min="10014" max="10017" width="5.26953125" style="4" customWidth="1"/>
    <col min="10018" max="10018" width="5.1796875" style="4" customWidth="1"/>
    <col min="10019" max="10242" width="9.1796875" style="4"/>
    <col min="10243" max="10245" width="3.7265625" style="4" customWidth="1"/>
    <col min="10246" max="10246" width="4.453125" style="4" customWidth="1"/>
    <col min="10247" max="10247" width="13.54296875" style="4" customWidth="1"/>
    <col min="10248" max="10248" width="9.1796875" style="4"/>
    <col min="10249" max="10268" width="5.26953125" style="4" customWidth="1"/>
    <col min="10269" max="10269" width="3.7265625" style="4" customWidth="1"/>
    <col min="10270" max="10273" width="5.26953125" style="4" customWidth="1"/>
    <col min="10274" max="10274" width="5.1796875" style="4" customWidth="1"/>
    <col min="10275" max="10498" width="9.1796875" style="4"/>
    <col min="10499" max="10501" width="3.7265625" style="4" customWidth="1"/>
    <col min="10502" max="10502" width="4.453125" style="4" customWidth="1"/>
    <col min="10503" max="10503" width="13.54296875" style="4" customWidth="1"/>
    <col min="10504" max="10504" width="9.1796875" style="4"/>
    <col min="10505" max="10524" width="5.26953125" style="4" customWidth="1"/>
    <col min="10525" max="10525" width="3.7265625" style="4" customWidth="1"/>
    <col min="10526" max="10529" width="5.26953125" style="4" customWidth="1"/>
    <col min="10530" max="10530" width="5.1796875" style="4" customWidth="1"/>
    <col min="10531" max="10754" width="9.1796875" style="4"/>
    <col min="10755" max="10757" width="3.7265625" style="4" customWidth="1"/>
    <col min="10758" max="10758" width="4.453125" style="4" customWidth="1"/>
    <col min="10759" max="10759" width="13.54296875" style="4" customWidth="1"/>
    <col min="10760" max="10760" width="9.1796875" style="4"/>
    <col min="10761" max="10780" width="5.26953125" style="4" customWidth="1"/>
    <col min="10781" max="10781" width="3.7265625" style="4" customWidth="1"/>
    <col min="10782" max="10785" width="5.26953125" style="4" customWidth="1"/>
    <col min="10786" max="10786" width="5.1796875" style="4" customWidth="1"/>
    <col min="10787" max="11010" width="9.1796875" style="4"/>
    <col min="11011" max="11013" width="3.7265625" style="4" customWidth="1"/>
    <col min="11014" max="11014" width="4.453125" style="4" customWidth="1"/>
    <col min="11015" max="11015" width="13.54296875" style="4" customWidth="1"/>
    <col min="11016" max="11016" width="9.1796875" style="4"/>
    <col min="11017" max="11036" width="5.26953125" style="4" customWidth="1"/>
    <col min="11037" max="11037" width="3.7265625" style="4" customWidth="1"/>
    <col min="11038" max="11041" width="5.26953125" style="4" customWidth="1"/>
    <col min="11042" max="11042" width="5.1796875" style="4" customWidth="1"/>
    <col min="11043" max="11266" width="9.1796875" style="4"/>
    <col min="11267" max="11269" width="3.7265625" style="4" customWidth="1"/>
    <col min="11270" max="11270" width="4.453125" style="4" customWidth="1"/>
    <col min="11271" max="11271" width="13.54296875" style="4" customWidth="1"/>
    <col min="11272" max="11272" width="9.1796875" style="4"/>
    <col min="11273" max="11292" width="5.26953125" style="4" customWidth="1"/>
    <col min="11293" max="11293" width="3.7265625" style="4" customWidth="1"/>
    <col min="11294" max="11297" width="5.26953125" style="4" customWidth="1"/>
    <col min="11298" max="11298" width="5.1796875" style="4" customWidth="1"/>
    <col min="11299" max="11522" width="9.1796875" style="4"/>
    <col min="11523" max="11525" width="3.7265625" style="4" customWidth="1"/>
    <col min="11526" max="11526" width="4.453125" style="4" customWidth="1"/>
    <col min="11527" max="11527" width="13.54296875" style="4" customWidth="1"/>
    <col min="11528" max="11528" width="9.1796875" style="4"/>
    <col min="11529" max="11548" width="5.26953125" style="4" customWidth="1"/>
    <col min="11549" max="11549" width="3.7265625" style="4" customWidth="1"/>
    <col min="11550" max="11553" width="5.26953125" style="4" customWidth="1"/>
    <col min="11554" max="11554" width="5.1796875" style="4" customWidth="1"/>
    <col min="11555" max="11778" width="9.1796875" style="4"/>
    <col min="11779" max="11781" width="3.7265625" style="4" customWidth="1"/>
    <col min="11782" max="11782" width="4.453125" style="4" customWidth="1"/>
    <col min="11783" max="11783" width="13.54296875" style="4" customWidth="1"/>
    <col min="11784" max="11784" width="9.1796875" style="4"/>
    <col min="11785" max="11804" width="5.26953125" style="4" customWidth="1"/>
    <col min="11805" max="11805" width="3.7265625" style="4" customWidth="1"/>
    <col min="11806" max="11809" width="5.26953125" style="4" customWidth="1"/>
    <col min="11810" max="11810" width="5.1796875" style="4" customWidth="1"/>
    <col min="11811" max="12034" width="9.1796875" style="4"/>
    <col min="12035" max="12037" width="3.7265625" style="4" customWidth="1"/>
    <col min="12038" max="12038" width="4.453125" style="4" customWidth="1"/>
    <col min="12039" max="12039" width="13.54296875" style="4" customWidth="1"/>
    <col min="12040" max="12040" width="9.1796875" style="4"/>
    <col min="12041" max="12060" width="5.26953125" style="4" customWidth="1"/>
    <col min="12061" max="12061" width="3.7265625" style="4" customWidth="1"/>
    <col min="12062" max="12065" width="5.26953125" style="4" customWidth="1"/>
    <col min="12066" max="12066" width="5.1796875" style="4" customWidth="1"/>
    <col min="12067" max="12290" width="9.1796875" style="4"/>
    <col min="12291" max="12293" width="3.7265625" style="4" customWidth="1"/>
    <col min="12294" max="12294" width="4.453125" style="4" customWidth="1"/>
    <col min="12295" max="12295" width="13.54296875" style="4" customWidth="1"/>
    <col min="12296" max="12296" width="9.1796875" style="4"/>
    <col min="12297" max="12316" width="5.26953125" style="4" customWidth="1"/>
    <col min="12317" max="12317" width="3.7265625" style="4" customWidth="1"/>
    <col min="12318" max="12321" width="5.26953125" style="4" customWidth="1"/>
    <col min="12322" max="12322" width="5.1796875" style="4" customWidth="1"/>
    <col min="12323" max="12546" width="9.1796875" style="4"/>
    <col min="12547" max="12549" width="3.7265625" style="4" customWidth="1"/>
    <col min="12550" max="12550" width="4.453125" style="4" customWidth="1"/>
    <col min="12551" max="12551" width="13.54296875" style="4" customWidth="1"/>
    <col min="12552" max="12552" width="9.1796875" style="4"/>
    <col min="12553" max="12572" width="5.26953125" style="4" customWidth="1"/>
    <col min="12573" max="12573" width="3.7265625" style="4" customWidth="1"/>
    <col min="12574" max="12577" width="5.26953125" style="4" customWidth="1"/>
    <col min="12578" max="12578" width="5.1796875" style="4" customWidth="1"/>
    <col min="12579" max="12802" width="9.1796875" style="4"/>
    <col min="12803" max="12805" width="3.7265625" style="4" customWidth="1"/>
    <col min="12806" max="12806" width="4.453125" style="4" customWidth="1"/>
    <col min="12807" max="12807" width="13.54296875" style="4" customWidth="1"/>
    <col min="12808" max="12808" width="9.1796875" style="4"/>
    <col min="12809" max="12828" width="5.26953125" style="4" customWidth="1"/>
    <col min="12829" max="12829" width="3.7265625" style="4" customWidth="1"/>
    <col min="12830" max="12833" width="5.26953125" style="4" customWidth="1"/>
    <col min="12834" max="12834" width="5.1796875" style="4" customWidth="1"/>
    <col min="12835" max="13058" width="9.1796875" style="4"/>
    <col min="13059" max="13061" width="3.7265625" style="4" customWidth="1"/>
    <col min="13062" max="13062" width="4.453125" style="4" customWidth="1"/>
    <col min="13063" max="13063" width="13.54296875" style="4" customWidth="1"/>
    <col min="13064" max="13064" width="9.1796875" style="4"/>
    <col min="13065" max="13084" width="5.26953125" style="4" customWidth="1"/>
    <col min="13085" max="13085" width="3.7265625" style="4" customWidth="1"/>
    <col min="13086" max="13089" width="5.26953125" style="4" customWidth="1"/>
    <col min="13090" max="13090" width="5.1796875" style="4" customWidth="1"/>
    <col min="13091" max="13314" width="9.1796875" style="4"/>
    <col min="13315" max="13317" width="3.7265625" style="4" customWidth="1"/>
    <col min="13318" max="13318" width="4.453125" style="4" customWidth="1"/>
    <col min="13319" max="13319" width="13.54296875" style="4" customWidth="1"/>
    <col min="13320" max="13320" width="9.1796875" style="4"/>
    <col min="13321" max="13340" width="5.26953125" style="4" customWidth="1"/>
    <col min="13341" max="13341" width="3.7265625" style="4" customWidth="1"/>
    <col min="13342" max="13345" width="5.26953125" style="4" customWidth="1"/>
    <col min="13346" max="13346" width="5.1796875" style="4" customWidth="1"/>
    <col min="13347" max="13570" width="9.1796875" style="4"/>
    <col min="13571" max="13573" width="3.7265625" style="4" customWidth="1"/>
    <col min="13574" max="13574" width="4.453125" style="4" customWidth="1"/>
    <col min="13575" max="13575" width="13.54296875" style="4" customWidth="1"/>
    <col min="13576" max="13576" width="9.1796875" style="4"/>
    <col min="13577" max="13596" width="5.26953125" style="4" customWidth="1"/>
    <col min="13597" max="13597" width="3.7265625" style="4" customWidth="1"/>
    <col min="13598" max="13601" width="5.26953125" style="4" customWidth="1"/>
    <col min="13602" max="13602" width="5.1796875" style="4" customWidth="1"/>
    <col min="13603" max="13826" width="9.1796875" style="4"/>
    <col min="13827" max="13829" width="3.7265625" style="4" customWidth="1"/>
    <col min="13830" max="13830" width="4.453125" style="4" customWidth="1"/>
    <col min="13831" max="13831" width="13.54296875" style="4" customWidth="1"/>
    <col min="13832" max="13832" width="9.1796875" style="4"/>
    <col min="13833" max="13852" width="5.26953125" style="4" customWidth="1"/>
    <col min="13853" max="13853" width="3.7265625" style="4" customWidth="1"/>
    <col min="13854" max="13857" width="5.26953125" style="4" customWidth="1"/>
    <col min="13858" max="13858" width="5.1796875" style="4" customWidth="1"/>
    <col min="13859" max="14082" width="9.1796875" style="4"/>
    <col min="14083" max="14085" width="3.7265625" style="4" customWidth="1"/>
    <col min="14086" max="14086" width="4.453125" style="4" customWidth="1"/>
    <col min="14087" max="14087" width="13.54296875" style="4" customWidth="1"/>
    <col min="14088" max="14088" width="9.1796875" style="4"/>
    <col min="14089" max="14108" width="5.26953125" style="4" customWidth="1"/>
    <col min="14109" max="14109" width="3.7265625" style="4" customWidth="1"/>
    <col min="14110" max="14113" width="5.26953125" style="4" customWidth="1"/>
    <col min="14114" max="14114" width="5.1796875" style="4" customWidth="1"/>
    <col min="14115" max="14338" width="9.1796875" style="4"/>
    <col min="14339" max="14341" width="3.7265625" style="4" customWidth="1"/>
    <col min="14342" max="14342" width="4.453125" style="4" customWidth="1"/>
    <col min="14343" max="14343" width="13.54296875" style="4" customWidth="1"/>
    <col min="14344" max="14344" width="9.1796875" style="4"/>
    <col min="14345" max="14364" width="5.26953125" style="4" customWidth="1"/>
    <col min="14365" max="14365" width="3.7265625" style="4" customWidth="1"/>
    <col min="14366" max="14369" width="5.26953125" style="4" customWidth="1"/>
    <col min="14370" max="14370" width="5.1796875" style="4" customWidth="1"/>
    <col min="14371" max="14594" width="9.1796875" style="4"/>
    <col min="14595" max="14597" width="3.7265625" style="4" customWidth="1"/>
    <col min="14598" max="14598" width="4.453125" style="4" customWidth="1"/>
    <col min="14599" max="14599" width="13.54296875" style="4" customWidth="1"/>
    <col min="14600" max="14600" width="9.1796875" style="4"/>
    <col min="14601" max="14620" width="5.26953125" style="4" customWidth="1"/>
    <col min="14621" max="14621" width="3.7265625" style="4" customWidth="1"/>
    <col min="14622" max="14625" width="5.26953125" style="4" customWidth="1"/>
    <col min="14626" max="14626" width="5.1796875" style="4" customWidth="1"/>
    <col min="14627" max="14850" width="9.1796875" style="4"/>
    <col min="14851" max="14853" width="3.7265625" style="4" customWidth="1"/>
    <col min="14854" max="14854" width="4.453125" style="4" customWidth="1"/>
    <col min="14855" max="14855" width="13.54296875" style="4" customWidth="1"/>
    <col min="14856" max="14856" width="9.1796875" style="4"/>
    <col min="14857" max="14876" width="5.26953125" style="4" customWidth="1"/>
    <col min="14877" max="14877" width="3.7265625" style="4" customWidth="1"/>
    <col min="14878" max="14881" width="5.26953125" style="4" customWidth="1"/>
    <col min="14882" max="14882" width="5.1796875" style="4" customWidth="1"/>
    <col min="14883" max="15106" width="9.1796875" style="4"/>
    <col min="15107" max="15109" width="3.7265625" style="4" customWidth="1"/>
    <col min="15110" max="15110" width="4.453125" style="4" customWidth="1"/>
    <col min="15111" max="15111" width="13.54296875" style="4" customWidth="1"/>
    <col min="15112" max="15112" width="9.1796875" style="4"/>
    <col min="15113" max="15132" width="5.26953125" style="4" customWidth="1"/>
    <col min="15133" max="15133" width="3.7265625" style="4" customWidth="1"/>
    <col min="15134" max="15137" width="5.26953125" style="4" customWidth="1"/>
    <col min="15138" max="15138" width="5.1796875" style="4" customWidth="1"/>
    <col min="15139" max="15362" width="9.1796875" style="4"/>
    <col min="15363" max="15365" width="3.7265625" style="4" customWidth="1"/>
    <col min="15366" max="15366" width="4.453125" style="4" customWidth="1"/>
    <col min="15367" max="15367" width="13.54296875" style="4" customWidth="1"/>
    <col min="15368" max="15368" width="9.1796875" style="4"/>
    <col min="15369" max="15388" width="5.26953125" style="4" customWidth="1"/>
    <col min="15389" max="15389" width="3.7265625" style="4" customWidth="1"/>
    <col min="15390" max="15393" width="5.26953125" style="4" customWidth="1"/>
    <col min="15394" max="15394" width="5.1796875" style="4" customWidth="1"/>
    <col min="15395" max="15618" width="9.1796875" style="4"/>
    <col min="15619" max="15621" width="3.7265625" style="4" customWidth="1"/>
    <col min="15622" max="15622" width="4.453125" style="4" customWidth="1"/>
    <col min="15623" max="15623" width="13.54296875" style="4" customWidth="1"/>
    <col min="15624" max="15624" width="9.1796875" style="4"/>
    <col min="15625" max="15644" width="5.26953125" style="4" customWidth="1"/>
    <col min="15645" max="15645" width="3.7265625" style="4" customWidth="1"/>
    <col min="15646" max="15649" width="5.26953125" style="4" customWidth="1"/>
    <col min="15650" max="15650" width="5.1796875" style="4" customWidth="1"/>
    <col min="15651" max="15874" width="9.1796875" style="4"/>
    <col min="15875" max="15877" width="3.7265625" style="4" customWidth="1"/>
    <col min="15878" max="15878" width="4.453125" style="4" customWidth="1"/>
    <col min="15879" max="15879" width="13.54296875" style="4" customWidth="1"/>
    <col min="15880" max="15880" width="9.1796875" style="4"/>
    <col min="15881" max="15900" width="5.26953125" style="4" customWidth="1"/>
    <col min="15901" max="15901" width="3.7265625" style="4" customWidth="1"/>
    <col min="15902" max="15905" width="5.26953125" style="4" customWidth="1"/>
    <col min="15906" max="15906" width="5.1796875" style="4" customWidth="1"/>
    <col min="15907" max="16130" width="9.1796875" style="4"/>
    <col min="16131" max="16133" width="3.7265625" style="4" customWidth="1"/>
    <col min="16134" max="16134" width="4.453125" style="4" customWidth="1"/>
    <col min="16135" max="16135" width="13.54296875" style="4" customWidth="1"/>
    <col min="16136" max="16136" width="9.1796875" style="4"/>
    <col min="16137" max="16156" width="5.26953125" style="4" customWidth="1"/>
    <col min="16157" max="16157" width="3.7265625" style="4" customWidth="1"/>
    <col min="16158" max="16161" width="5.26953125" style="4" customWidth="1"/>
    <col min="16162" max="16162" width="5.1796875" style="4" customWidth="1"/>
    <col min="16163" max="16384" width="9.1796875" style="4"/>
  </cols>
  <sheetData>
    <row r="2" spans="1:33" ht="26.2" customHeight="1">
      <c r="A2" s="1"/>
      <c r="B2" s="460" t="s">
        <v>0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60"/>
      <c r="AA2" s="460"/>
      <c r="AB2" s="460"/>
      <c r="AC2" s="460"/>
      <c r="AD2" s="460"/>
      <c r="AE2" s="2"/>
      <c r="AF2" s="3"/>
      <c r="AG2" s="3"/>
    </row>
    <row r="3" spans="1:33" ht="30.75" customHeight="1">
      <c r="A3" s="5"/>
      <c r="B3" s="461" t="s">
        <v>1</v>
      </c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6"/>
      <c r="AF3" s="7"/>
      <c r="AG3" s="7"/>
    </row>
    <row r="4" spans="1:33" ht="30.75" customHeight="1" thickBo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7"/>
      <c r="AG4" s="7"/>
    </row>
    <row r="5" spans="1:33" ht="18" customHeight="1" thickTop="1" thickBot="1">
      <c r="D5" s="393" t="s">
        <v>2</v>
      </c>
      <c r="E5" s="393" t="s">
        <v>3</v>
      </c>
      <c r="F5" s="395" t="s">
        <v>4</v>
      </c>
      <c r="G5" s="462" t="s">
        <v>5</v>
      </c>
      <c r="H5" s="463"/>
      <c r="I5" s="463"/>
      <c r="J5" s="463"/>
      <c r="K5" s="463"/>
      <c r="L5" s="463"/>
      <c r="M5" s="463"/>
      <c r="N5" s="463"/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9"/>
      <c r="AD5" s="10"/>
      <c r="AE5" s="10"/>
      <c r="AF5" s="10"/>
      <c r="AG5" s="10"/>
    </row>
    <row r="6" spans="1:33" ht="18" customHeight="1" thickTop="1">
      <c r="D6" s="394"/>
      <c r="E6" s="394"/>
      <c r="F6" s="396"/>
      <c r="G6" s="464" t="s">
        <v>6</v>
      </c>
      <c r="H6" s="465"/>
      <c r="I6" s="465"/>
      <c r="J6" s="465"/>
      <c r="K6" s="465"/>
      <c r="L6" s="465"/>
      <c r="M6" s="466"/>
      <c r="N6" s="434" t="s">
        <v>6</v>
      </c>
      <c r="O6" s="434"/>
      <c r="P6" s="434"/>
      <c r="Q6" s="434"/>
      <c r="R6" s="434"/>
      <c r="S6" s="434"/>
      <c r="T6" s="434"/>
      <c r="U6" s="435"/>
      <c r="V6" s="465" t="s">
        <v>6</v>
      </c>
      <c r="W6" s="465"/>
      <c r="X6" s="465"/>
      <c r="Y6" s="465"/>
      <c r="Z6" s="465"/>
      <c r="AA6" s="465"/>
      <c r="AB6" s="465"/>
      <c r="AC6" s="11"/>
      <c r="AD6" s="12"/>
      <c r="AE6" s="12"/>
      <c r="AF6" s="12"/>
      <c r="AG6" s="12"/>
    </row>
    <row r="7" spans="1:33" ht="18" customHeight="1">
      <c r="D7" s="394"/>
      <c r="E7" s="394"/>
      <c r="F7" s="396"/>
      <c r="G7" s="467" t="s">
        <v>7</v>
      </c>
      <c r="H7" s="451"/>
      <c r="I7" s="451"/>
      <c r="J7" s="451"/>
      <c r="K7" s="451"/>
      <c r="L7" s="451"/>
      <c r="M7" s="468"/>
      <c r="N7" s="372" t="s">
        <v>8</v>
      </c>
      <c r="O7" s="372"/>
      <c r="P7" s="372"/>
      <c r="Q7" s="372"/>
      <c r="R7" s="372"/>
      <c r="S7" s="372"/>
      <c r="T7" s="372"/>
      <c r="U7" s="373"/>
      <c r="V7" s="451" t="s">
        <v>9</v>
      </c>
      <c r="W7" s="451"/>
      <c r="X7" s="451"/>
      <c r="Y7" s="451"/>
      <c r="Z7" s="451"/>
      <c r="AA7" s="451"/>
      <c r="AB7" s="451"/>
      <c r="AC7" s="13"/>
      <c r="AD7" s="14"/>
      <c r="AE7" s="14"/>
      <c r="AF7" s="14"/>
      <c r="AG7" s="14"/>
    </row>
    <row r="8" spans="1:33" ht="18" customHeight="1" thickBot="1">
      <c r="D8" s="359"/>
      <c r="E8" s="359"/>
      <c r="F8" s="397"/>
      <c r="G8" s="16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8" t="s">
        <v>15</v>
      </c>
      <c r="M8" s="19" t="s">
        <v>16</v>
      </c>
      <c r="N8" s="20" t="s">
        <v>17</v>
      </c>
      <c r="O8" s="21" t="s">
        <v>18</v>
      </c>
      <c r="P8" s="21" t="s">
        <v>19</v>
      </c>
      <c r="Q8" s="21" t="s">
        <v>20</v>
      </c>
      <c r="R8" s="21" t="s">
        <v>21</v>
      </c>
      <c r="S8" s="22" t="s">
        <v>22</v>
      </c>
      <c r="T8" s="22" t="s">
        <v>23</v>
      </c>
      <c r="U8" s="23" t="s">
        <v>24</v>
      </c>
      <c r="V8" s="20" t="s">
        <v>25</v>
      </c>
      <c r="W8" s="21" t="s">
        <v>26</v>
      </c>
      <c r="X8" s="21" t="s">
        <v>27</v>
      </c>
      <c r="Y8" s="21" t="s">
        <v>28</v>
      </c>
      <c r="Z8" s="21" t="s">
        <v>29</v>
      </c>
      <c r="AA8" s="22" t="s">
        <v>30</v>
      </c>
      <c r="AB8" s="22" t="s">
        <v>31</v>
      </c>
      <c r="AC8" s="24"/>
      <c r="AD8" s="25"/>
      <c r="AE8" s="25"/>
      <c r="AF8" s="25"/>
      <c r="AG8" s="26"/>
    </row>
    <row r="9" spans="1:33" ht="18" customHeight="1" thickTop="1" thickBot="1">
      <c r="D9" s="27">
        <v>0</v>
      </c>
      <c r="E9" s="27" t="s">
        <v>32</v>
      </c>
      <c r="F9" s="27">
        <v>0</v>
      </c>
      <c r="G9" s="452" t="s">
        <v>33</v>
      </c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  <c r="W9" s="453"/>
      <c r="X9" s="453"/>
      <c r="Y9" s="453"/>
      <c r="Z9" s="453"/>
      <c r="AA9" s="453"/>
      <c r="AB9" s="453"/>
      <c r="AC9" s="28"/>
      <c r="AD9" s="29"/>
      <c r="AE9" s="29"/>
      <c r="AF9" s="29"/>
      <c r="AG9" s="29"/>
    </row>
    <row r="10" spans="1:33" ht="20.100000000000001" customHeight="1" thickTop="1">
      <c r="D10" s="30">
        <v>1</v>
      </c>
      <c r="E10" s="31" t="s">
        <v>34</v>
      </c>
      <c r="F10" s="30">
        <v>1</v>
      </c>
      <c r="G10" s="454" t="s">
        <v>35</v>
      </c>
      <c r="H10" s="455"/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32"/>
      <c r="AD10" s="33"/>
      <c r="AE10" s="33"/>
      <c r="AF10" s="33"/>
      <c r="AG10" s="33"/>
    </row>
    <row r="11" spans="1:33" ht="20.100000000000001" customHeight="1">
      <c r="D11" s="34">
        <v>2</v>
      </c>
      <c r="E11" s="34" t="s">
        <v>36</v>
      </c>
      <c r="F11" s="35">
        <v>2</v>
      </c>
      <c r="G11" s="457" t="s">
        <v>37</v>
      </c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8"/>
      <c r="AB11" s="459"/>
      <c r="AC11" s="32"/>
      <c r="AD11" s="33"/>
      <c r="AE11" s="33"/>
      <c r="AF11" s="33"/>
      <c r="AG11" s="33"/>
    </row>
    <row r="12" spans="1:33" ht="20.100000000000001" customHeight="1">
      <c r="D12" s="34">
        <v>3</v>
      </c>
      <c r="E12" s="34" t="s">
        <v>38</v>
      </c>
      <c r="F12" s="35">
        <v>3</v>
      </c>
      <c r="G12" s="36">
        <v>30</v>
      </c>
      <c r="H12" s="37">
        <v>20</v>
      </c>
      <c r="I12" s="38">
        <v>34</v>
      </c>
      <c r="J12" s="37">
        <v>32</v>
      </c>
      <c r="K12" s="37">
        <v>11</v>
      </c>
      <c r="L12" s="39">
        <v>4</v>
      </c>
      <c r="M12" s="39">
        <v>22</v>
      </c>
      <c r="N12" s="36">
        <v>28</v>
      </c>
      <c r="O12" s="37">
        <v>29</v>
      </c>
      <c r="P12" s="37" t="s">
        <v>39</v>
      </c>
      <c r="Q12" s="37">
        <v>33</v>
      </c>
      <c r="R12" s="37">
        <v>16</v>
      </c>
      <c r="S12" s="39">
        <v>26</v>
      </c>
      <c r="T12" s="39">
        <v>35</v>
      </c>
      <c r="U12" s="40" t="s">
        <v>40</v>
      </c>
      <c r="V12" s="37">
        <v>1</v>
      </c>
      <c r="W12" s="37">
        <v>31</v>
      </c>
      <c r="X12" s="41">
        <v>14</v>
      </c>
      <c r="Y12" s="37">
        <v>18</v>
      </c>
      <c r="Z12" s="37">
        <v>36</v>
      </c>
      <c r="AA12" s="39">
        <v>5</v>
      </c>
      <c r="AB12" s="39">
        <v>12</v>
      </c>
      <c r="AC12" s="32"/>
      <c r="AD12" s="33"/>
      <c r="AE12" s="33"/>
      <c r="AF12" s="33"/>
      <c r="AG12" s="33"/>
    </row>
    <row r="13" spans="1:33" ht="20.100000000000001" customHeight="1">
      <c r="D13" s="34">
        <v>4</v>
      </c>
      <c r="E13" s="34" t="s">
        <v>41</v>
      </c>
      <c r="F13" s="35">
        <v>4</v>
      </c>
      <c r="G13" s="36">
        <v>30</v>
      </c>
      <c r="H13" s="37">
        <v>20</v>
      </c>
      <c r="I13" s="38">
        <v>34</v>
      </c>
      <c r="J13" s="37">
        <v>32</v>
      </c>
      <c r="K13" s="42">
        <v>11</v>
      </c>
      <c r="L13" s="43">
        <v>4</v>
      </c>
      <c r="M13" s="39">
        <v>22</v>
      </c>
      <c r="N13" s="36">
        <v>28</v>
      </c>
      <c r="O13" s="37">
        <v>29</v>
      </c>
      <c r="P13" s="37" t="s">
        <v>39</v>
      </c>
      <c r="Q13" s="37">
        <v>33</v>
      </c>
      <c r="R13" s="37">
        <v>16</v>
      </c>
      <c r="S13" s="39">
        <v>26</v>
      </c>
      <c r="T13" s="39">
        <v>35</v>
      </c>
      <c r="U13" s="40" t="s">
        <v>40</v>
      </c>
      <c r="V13" s="42">
        <v>1</v>
      </c>
      <c r="W13" s="42">
        <v>31</v>
      </c>
      <c r="X13" s="41">
        <v>14</v>
      </c>
      <c r="Y13" s="42">
        <v>18</v>
      </c>
      <c r="Z13" s="42">
        <v>36</v>
      </c>
      <c r="AA13" s="43">
        <v>5</v>
      </c>
      <c r="AB13" s="43">
        <v>12</v>
      </c>
      <c r="AC13" s="32"/>
      <c r="AD13" s="33"/>
      <c r="AE13" s="33"/>
      <c r="AF13" s="33"/>
      <c r="AG13" s="33"/>
    </row>
    <row r="14" spans="1:33" ht="20.100000000000001" customHeight="1">
      <c r="D14" s="34">
        <v>5</v>
      </c>
      <c r="E14" s="34" t="s">
        <v>42</v>
      </c>
      <c r="F14" s="35">
        <v>5</v>
      </c>
      <c r="G14" s="36">
        <v>30</v>
      </c>
      <c r="H14" s="37">
        <v>20</v>
      </c>
      <c r="I14" s="38">
        <v>34</v>
      </c>
      <c r="J14" s="37">
        <v>32</v>
      </c>
      <c r="K14" s="42">
        <v>11</v>
      </c>
      <c r="L14" s="43">
        <v>24</v>
      </c>
      <c r="M14" s="40">
        <v>21</v>
      </c>
      <c r="N14" s="36">
        <v>16</v>
      </c>
      <c r="O14" s="37">
        <v>7</v>
      </c>
      <c r="P14" s="37" t="s">
        <v>43</v>
      </c>
      <c r="Q14" s="37">
        <v>33</v>
      </c>
      <c r="R14" s="37">
        <v>36</v>
      </c>
      <c r="S14" s="39">
        <v>26</v>
      </c>
      <c r="T14" s="39">
        <v>35</v>
      </c>
      <c r="U14" s="40">
        <v>17</v>
      </c>
      <c r="V14" s="42">
        <v>1</v>
      </c>
      <c r="W14" s="42">
        <v>31</v>
      </c>
      <c r="X14" s="41">
        <v>14</v>
      </c>
      <c r="Y14" s="42">
        <v>18</v>
      </c>
      <c r="Z14" s="42">
        <v>3</v>
      </c>
      <c r="AA14" s="43">
        <v>5</v>
      </c>
      <c r="AB14" s="43">
        <v>13</v>
      </c>
      <c r="AC14" s="32"/>
      <c r="AD14" s="33"/>
      <c r="AE14" s="33"/>
      <c r="AF14" s="33"/>
      <c r="AG14" s="33"/>
    </row>
    <row r="15" spans="1:33" ht="20.100000000000001" customHeight="1">
      <c r="D15" s="34">
        <v>6</v>
      </c>
      <c r="E15" s="34" t="s">
        <v>44</v>
      </c>
      <c r="F15" s="44"/>
      <c r="G15" s="382" t="s">
        <v>45</v>
      </c>
      <c r="H15" s="383"/>
      <c r="I15" s="384"/>
      <c r="J15" s="384"/>
      <c r="K15" s="383"/>
      <c r="L15" s="383"/>
      <c r="M15" s="383"/>
      <c r="N15" s="384"/>
      <c r="O15" s="384"/>
      <c r="P15" s="384"/>
      <c r="Q15" s="384"/>
      <c r="R15" s="384"/>
      <c r="S15" s="384"/>
      <c r="T15" s="384"/>
      <c r="U15" s="384"/>
      <c r="V15" s="384"/>
      <c r="W15" s="383"/>
      <c r="X15" s="383"/>
      <c r="Y15" s="383"/>
      <c r="Z15" s="383"/>
      <c r="AA15" s="385"/>
      <c r="AB15" s="385"/>
      <c r="AC15" s="45"/>
      <c r="AD15" s="46"/>
      <c r="AE15" s="46"/>
      <c r="AF15" s="46"/>
      <c r="AG15" s="46"/>
    </row>
    <row r="16" spans="1:33" ht="20.100000000000001" customHeight="1">
      <c r="D16" s="34">
        <v>7</v>
      </c>
      <c r="E16" s="34" t="s">
        <v>46</v>
      </c>
      <c r="F16" s="34">
        <v>6</v>
      </c>
      <c r="G16" s="36">
        <v>34</v>
      </c>
      <c r="H16" s="37">
        <v>22</v>
      </c>
      <c r="I16" s="37">
        <v>11</v>
      </c>
      <c r="J16" s="37">
        <v>30</v>
      </c>
      <c r="K16" s="37">
        <v>20</v>
      </c>
      <c r="L16" s="39">
        <v>24</v>
      </c>
      <c r="M16" s="39">
        <v>21</v>
      </c>
      <c r="N16" s="36">
        <v>16</v>
      </c>
      <c r="O16" s="37">
        <v>7</v>
      </c>
      <c r="P16" s="37" t="s">
        <v>43</v>
      </c>
      <c r="Q16" s="37">
        <v>29</v>
      </c>
      <c r="R16" s="37">
        <v>36</v>
      </c>
      <c r="S16" s="39">
        <v>10</v>
      </c>
      <c r="T16" s="39" t="s">
        <v>47</v>
      </c>
      <c r="U16" s="40">
        <v>17</v>
      </c>
      <c r="V16" s="37">
        <v>6</v>
      </c>
      <c r="W16" s="37">
        <v>1</v>
      </c>
      <c r="X16" s="41">
        <v>26</v>
      </c>
      <c r="Y16" s="37">
        <v>31</v>
      </c>
      <c r="Z16" s="37">
        <v>3</v>
      </c>
      <c r="AA16" s="39">
        <v>19</v>
      </c>
      <c r="AB16" s="39">
        <v>13</v>
      </c>
      <c r="AC16" s="32"/>
      <c r="AD16" s="33"/>
      <c r="AE16" s="33"/>
      <c r="AF16" s="33"/>
      <c r="AG16" s="33"/>
    </row>
    <row r="17" spans="4:33" ht="20.100000000000001" customHeight="1">
      <c r="D17" s="34">
        <v>8</v>
      </c>
      <c r="E17" s="34" t="s">
        <v>48</v>
      </c>
      <c r="F17" s="34">
        <v>7</v>
      </c>
      <c r="G17" s="36">
        <v>34</v>
      </c>
      <c r="H17" s="37">
        <v>22</v>
      </c>
      <c r="I17" s="37">
        <v>11</v>
      </c>
      <c r="J17" s="37">
        <v>30</v>
      </c>
      <c r="K17" s="37">
        <v>20</v>
      </c>
      <c r="L17" s="39">
        <v>17</v>
      </c>
      <c r="M17" s="39">
        <v>32</v>
      </c>
      <c r="N17" s="36">
        <v>7</v>
      </c>
      <c r="O17" s="37">
        <v>33</v>
      </c>
      <c r="P17" s="37" t="s">
        <v>43</v>
      </c>
      <c r="Q17" s="37">
        <v>29</v>
      </c>
      <c r="R17" s="37" t="s">
        <v>49</v>
      </c>
      <c r="S17" s="39">
        <v>10</v>
      </c>
      <c r="T17" s="39" t="s">
        <v>47</v>
      </c>
      <c r="U17" s="40">
        <v>27</v>
      </c>
      <c r="V17" s="37">
        <v>3</v>
      </c>
      <c r="W17" s="37">
        <v>1</v>
      </c>
      <c r="X17" s="41">
        <v>26</v>
      </c>
      <c r="Y17" s="37">
        <v>31</v>
      </c>
      <c r="Z17" s="37">
        <v>6</v>
      </c>
      <c r="AA17" s="39">
        <v>19</v>
      </c>
      <c r="AB17" s="39">
        <v>13</v>
      </c>
      <c r="AC17" s="32"/>
      <c r="AD17" s="33"/>
      <c r="AE17" s="33"/>
      <c r="AF17" s="33"/>
      <c r="AG17" s="33"/>
    </row>
    <row r="18" spans="4:33" ht="20.100000000000001" customHeight="1">
      <c r="D18" s="34">
        <v>9</v>
      </c>
      <c r="E18" s="34" t="s">
        <v>50</v>
      </c>
      <c r="F18" s="34">
        <v>8</v>
      </c>
      <c r="G18" s="36">
        <v>34</v>
      </c>
      <c r="H18" s="37">
        <v>19</v>
      </c>
      <c r="I18" s="37">
        <v>11</v>
      </c>
      <c r="J18" s="37">
        <v>30</v>
      </c>
      <c r="K18" s="37">
        <v>20</v>
      </c>
      <c r="L18" s="39">
        <v>17</v>
      </c>
      <c r="M18" s="39">
        <v>32</v>
      </c>
      <c r="N18" s="36">
        <v>7</v>
      </c>
      <c r="O18" s="37">
        <v>33</v>
      </c>
      <c r="P18" s="37">
        <v>29</v>
      </c>
      <c r="Q18" s="37" t="s">
        <v>43</v>
      </c>
      <c r="R18" s="37" t="s">
        <v>49</v>
      </c>
      <c r="S18" s="39">
        <v>10</v>
      </c>
      <c r="T18" s="39" t="s">
        <v>39</v>
      </c>
      <c r="U18" s="40">
        <v>27</v>
      </c>
      <c r="V18" s="37">
        <v>3</v>
      </c>
      <c r="W18" s="37">
        <v>1</v>
      </c>
      <c r="X18" s="41">
        <v>16</v>
      </c>
      <c r="Y18" s="37">
        <v>31</v>
      </c>
      <c r="Z18" s="37">
        <v>18</v>
      </c>
      <c r="AA18" s="39">
        <v>36</v>
      </c>
      <c r="AB18" s="39">
        <v>5</v>
      </c>
      <c r="AC18" s="32"/>
      <c r="AD18" s="33"/>
      <c r="AE18" s="33"/>
      <c r="AF18" s="33"/>
      <c r="AG18" s="33"/>
    </row>
    <row r="19" spans="4:33" ht="20.100000000000001" customHeight="1">
      <c r="D19" s="34">
        <v>10</v>
      </c>
      <c r="E19" s="34" t="s">
        <v>51</v>
      </c>
      <c r="F19" s="44"/>
      <c r="G19" s="377" t="s">
        <v>52</v>
      </c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11"/>
      <c r="AD19" s="12"/>
      <c r="AE19" s="12"/>
      <c r="AF19" s="12"/>
      <c r="AG19" s="12"/>
    </row>
    <row r="20" spans="4:33" ht="20.100000000000001" customHeight="1">
      <c r="D20" s="34">
        <v>11</v>
      </c>
      <c r="E20" s="34" t="s">
        <v>53</v>
      </c>
      <c r="F20" s="35">
        <v>9</v>
      </c>
      <c r="G20" s="36">
        <v>22</v>
      </c>
      <c r="H20" s="37">
        <v>19</v>
      </c>
      <c r="I20" s="37">
        <v>24</v>
      </c>
      <c r="J20" s="37">
        <v>15</v>
      </c>
      <c r="K20" s="37">
        <v>6</v>
      </c>
      <c r="L20" s="39">
        <v>17</v>
      </c>
      <c r="M20" s="39">
        <v>32</v>
      </c>
      <c r="N20" s="36">
        <v>25</v>
      </c>
      <c r="O20" s="37">
        <v>33</v>
      </c>
      <c r="P20" s="37">
        <v>29</v>
      </c>
      <c r="Q20" s="37" t="s">
        <v>43</v>
      </c>
      <c r="R20" s="37" t="s">
        <v>49</v>
      </c>
      <c r="S20" s="39" t="s">
        <v>47</v>
      </c>
      <c r="T20" s="39" t="s">
        <v>39</v>
      </c>
      <c r="U20" s="40">
        <v>7</v>
      </c>
      <c r="V20" s="37">
        <v>26</v>
      </c>
      <c r="W20" s="37">
        <v>12</v>
      </c>
      <c r="X20" s="41">
        <v>16</v>
      </c>
      <c r="Y20" s="37">
        <v>8</v>
      </c>
      <c r="Z20" s="37">
        <v>18</v>
      </c>
      <c r="AA20" s="39">
        <v>36</v>
      </c>
      <c r="AB20" s="39">
        <v>5</v>
      </c>
      <c r="AC20" s="32"/>
      <c r="AD20" s="33"/>
      <c r="AE20" s="33"/>
      <c r="AF20" s="33"/>
      <c r="AG20" s="33"/>
    </row>
    <row r="21" spans="4:33" ht="20.100000000000001" customHeight="1">
      <c r="D21" s="34">
        <v>12</v>
      </c>
      <c r="E21" s="34" t="s">
        <v>54</v>
      </c>
      <c r="F21" s="35">
        <v>10</v>
      </c>
      <c r="G21" s="36">
        <v>22</v>
      </c>
      <c r="H21" s="47">
        <v>30</v>
      </c>
      <c r="I21" s="47">
        <v>24</v>
      </c>
      <c r="J21" s="47">
        <v>15</v>
      </c>
      <c r="K21" s="47">
        <v>32</v>
      </c>
      <c r="L21" s="48">
        <v>34</v>
      </c>
      <c r="M21" s="48">
        <v>9</v>
      </c>
      <c r="N21" s="49">
        <v>25</v>
      </c>
      <c r="O21" s="47" t="s">
        <v>49</v>
      </c>
      <c r="P21" s="47">
        <v>33</v>
      </c>
      <c r="Q21" s="47" t="s">
        <v>43</v>
      </c>
      <c r="R21" s="47">
        <v>14</v>
      </c>
      <c r="S21" s="48" t="s">
        <v>47</v>
      </c>
      <c r="T21" s="48">
        <v>31</v>
      </c>
      <c r="U21" s="50">
        <v>7</v>
      </c>
      <c r="V21" s="47">
        <v>26</v>
      </c>
      <c r="W21" s="47">
        <v>12</v>
      </c>
      <c r="X21" s="51">
        <v>11</v>
      </c>
      <c r="Y21" s="47">
        <v>8</v>
      </c>
      <c r="Z21" s="47">
        <v>2</v>
      </c>
      <c r="AA21" s="48">
        <v>18</v>
      </c>
      <c r="AB21" s="48">
        <v>5</v>
      </c>
      <c r="AC21" s="32"/>
      <c r="AD21" s="33"/>
      <c r="AE21" s="33"/>
      <c r="AF21" s="33"/>
      <c r="AG21" s="33"/>
    </row>
    <row r="22" spans="4:33" ht="20.100000000000001" customHeight="1">
      <c r="D22" s="34">
        <v>13</v>
      </c>
      <c r="E22" s="52" t="s">
        <v>55</v>
      </c>
      <c r="F22" s="53">
        <v>11</v>
      </c>
      <c r="G22" s="49">
        <v>4</v>
      </c>
      <c r="H22" s="47">
        <v>30</v>
      </c>
      <c r="I22" s="47">
        <v>22</v>
      </c>
      <c r="J22" s="47">
        <v>21</v>
      </c>
      <c r="K22" s="47">
        <v>32</v>
      </c>
      <c r="L22" s="48">
        <v>34</v>
      </c>
      <c r="M22" s="48">
        <v>9</v>
      </c>
      <c r="N22" s="49" t="s">
        <v>39</v>
      </c>
      <c r="O22" s="47" t="s">
        <v>49</v>
      </c>
      <c r="P22" s="47">
        <v>33</v>
      </c>
      <c r="Q22" s="47">
        <v>7</v>
      </c>
      <c r="R22" s="47">
        <v>14</v>
      </c>
      <c r="S22" s="48" t="s">
        <v>40</v>
      </c>
      <c r="T22" s="48">
        <v>31</v>
      </c>
      <c r="U22" s="50">
        <v>28</v>
      </c>
      <c r="V22" s="47">
        <v>15</v>
      </c>
      <c r="W22" s="47">
        <v>26</v>
      </c>
      <c r="X22" s="51">
        <v>11</v>
      </c>
      <c r="Y22" s="47">
        <v>12</v>
      </c>
      <c r="Z22" s="47">
        <v>2</v>
      </c>
      <c r="AA22" s="48">
        <v>18</v>
      </c>
      <c r="AB22" s="48">
        <v>19</v>
      </c>
      <c r="AC22" s="32"/>
      <c r="AD22" s="33"/>
      <c r="AE22" s="33"/>
      <c r="AF22" s="33"/>
      <c r="AG22" s="33"/>
    </row>
    <row r="23" spans="4:33" ht="20.100000000000001" customHeight="1">
      <c r="D23" s="52">
        <v>14</v>
      </c>
      <c r="E23" s="34" t="s">
        <v>56</v>
      </c>
      <c r="F23" s="34">
        <v>12</v>
      </c>
      <c r="G23" s="36">
        <v>4</v>
      </c>
      <c r="H23" s="37">
        <v>30</v>
      </c>
      <c r="I23" s="37">
        <v>22</v>
      </c>
      <c r="J23" s="37">
        <v>21</v>
      </c>
      <c r="K23" s="37">
        <v>32</v>
      </c>
      <c r="L23" s="39">
        <v>34</v>
      </c>
      <c r="M23" s="39">
        <v>9</v>
      </c>
      <c r="N23" s="49" t="s">
        <v>39</v>
      </c>
      <c r="O23" s="47" t="s">
        <v>49</v>
      </c>
      <c r="P23" s="47">
        <v>33</v>
      </c>
      <c r="Q23" s="47">
        <v>7</v>
      </c>
      <c r="R23" s="47">
        <v>14</v>
      </c>
      <c r="S23" s="48" t="s">
        <v>40</v>
      </c>
      <c r="T23" s="48">
        <v>31</v>
      </c>
      <c r="U23" s="50">
        <v>29</v>
      </c>
      <c r="V23" s="47">
        <v>15</v>
      </c>
      <c r="W23" s="47">
        <v>26</v>
      </c>
      <c r="X23" s="51">
        <v>11</v>
      </c>
      <c r="Y23" s="47">
        <v>12</v>
      </c>
      <c r="Z23" s="47">
        <v>2</v>
      </c>
      <c r="AA23" s="48">
        <v>18</v>
      </c>
      <c r="AB23" s="48">
        <v>19</v>
      </c>
      <c r="AC23" s="32"/>
      <c r="AD23" s="33"/>
      <c r="AE23" s="33"/>
      <c r="AF23" s="33"/>
      <c r="AG23" s="33"/>
    </row>
    <row r="24" spans="4:33" ht="20.100000000000001" customHeight="1" thickBot="1">
      <c r="D24" s="54">
        <v>15</v>
      </c>
      <c r="E24" s="15" t="s">
        <v>57</v>
      </c>
      <c r="F24" s="55"/>
      <c r="G24" s="442" t="s">
        <v>58</v>
      </c>
      <c r="H24" s="443"/>
      <c r="I24" s="443"/>
      <c r="J24" s="443"/>
      <c r="K24" s="443"/>
      <c r="L24" s="443"/>
      <c r="M24" s="443"/>
      <c r="N24" s="390"/>
      <c r="O24" s="390"/>
      <c r="P24" s="390"/>
      <c r="Q24" s="390"/>
      <c r="R24" s="390"/>
      <c r="S24" s="390"/>
      <c r="T24" s="390"/>
      <c r="U24" s="390"/>
      <c r="V24" s="390"/>
      <c r="W24" s="390"/>
      <c r="X24" s="390"/>
      <c r="Y24" s="390"/>
      <c r="Z24" s="390"/>
      <c r="AA24" s="391"/>
      <c r="AB24" s="392"/>
      <c r="AC24" s="46"/>
      <c r="AD24" s="46"/>
      <c r="AE24" s="46"/>
      <c r="AF24" s="46"/>
      <c r="AG24" s="46"/>
    </row>
    <row r="25" spans="4:33" ht="20.100000000000001" customHeight="1" thickTop="1">
      <c r="D25" s="56"/>
      <c r="E25" s="56"/>
      <c r="F25" s="56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46"/>
      <c r="AD25" s="46"/>
      <c r="AE25" s="46"/>
      <c r="AF25" s="46"/>
      <c r="AG25" s="46"/>
    </row>
    <row r="26" spans="4:33" ht="20.100000000000001" customHeight="1">
      <c r="D26" s="56"/>
      <c r="E26" s="56"/>
      <c r="F26" s="56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46"/>
      <c r="AD26" s="46"/>
      <c r="AE26" s="46"/>
      <c r="AF26" s="46"/>
      <c r="AG26" s="46"/>
    </row>
    <row r="27" spans="4:33" ht="18" customHeight="1" thickBot="1">
      <c r="D27" s="56"/>
      <c r="E27" s="56"/>
      <c r="F27" s="56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57"/>
      <c r="AC27" s="58"/>
      <c r="AD27" s="58"/>
      <c r="AE27" s="58"/>
      <c r="AF27" s="58"/>
      <c r="AG27" s="58"/>
    </row>
    <row r="28" spans="4:33" ht="18" customHeight="1" thickTop="1" thickBot="1">
      <c r="D28" s="419" t="s">
        <v>2</v>
      </c>
      <c r="E28" s="393" t="s">
        <v>3</v>
      </c>
      <c r="F28" s="395" t="s">
        <v>4</v>
      </c>
      <c r="G28" s="444" t="s">
        <v>59</v>
      </c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9"/>
      <c r="AD28" s="10"/>
      <c r="AE28" s="10"/>
      <c r="AF28" s="10"/>
      <c r="AG28" s="10"/>
    </row>
    <row r="29" spans="4:33" ht="18" customHeight="1" thickTop="1">
      <c r="D29" s="420"/>
      <c r="E29" s="394"/>
      <c r="F29" s="396"/>
      <c r="G29" s="446" t="s">
        <v>6</v>
      </c>
      <c r="H29" s="447"/>
      <c r="I29" s="447"/>
      <c r="J29" s="447"/>
      <c r="K29" s="447"/>
      <c r="L29" s="447"/>
      <c r="M29" s="448"/>
      <c r="N29" s="434" t="s">
        <v>6</v>
      </c>
      <c r="O29" s="434"/>
      <c r="P29" s="434"/>
      <c r="Q29" s="434"/>
      <c r="R29" s="434"/>
      <c r="S29" s="434"/>
      <c r="T29" s="434"/>
      <c r="U29" s="435"/>
      <c r="V29" s="447" t="s">
        <v>6</v>
      </c>
      <c r="W29" s="447"/>
      <c r="X29" s="447"/>
      <c r="Y29" s="447"/>
      <c r="Z29" s="447"/>
      <c r="AA29" s="447"/>
      <c r="AB29" s="447"/>
      <c r="AC29" s="11"/>
      <c r="AD29" s="12"/>
      <c r="AE29" s="12"/>
      <c r="AF29" s="12"/>
      <c r="AG29" s="12"/>
    </row>
    <row r="30" spans="4:33" ht="18" customHeight="1">
      <c r="D30" s="420"/>
      <c r="E30" s="394"/>
      <c r="F30" s="396"/>
      <c r="G30" s="449" t="s">
        <v>7</v>
      </c>
      <c r="H30" s="439"/>
      <c r="I30" s="439"/>
      <c r="J30" s="439"/>
      <c r="K30" s="439"/>
      <c r="L30" s="439"/>
      <c r="M30" s="450"/>
      <c r="N30" s="372" t="s">
        <v>8</v>
      </c>
      <c r="O30" s="372"/>
      <c r="P30" s="372"/>
      <c r="Q30" s="372"/>
      <c r="R30" s="372"/>
      <c r="S30" s="372"/>
      <c r="T30" s="372"/>
      <c r="U30" s="373"/>
      <c r="V30" s="439" t="s">
        <v>9</v>
      </c>
      <c r="W30" s="439"/>
      <c r="X30" s="439"/>
      <c r="Y30" s="439"/>
      <c r="Z30" s="439"/>
      <c r="AA30" s="439"/>
      <c r="AB30" s="439"/>
      <c r="AC30" s="13"/>
      <c r="AD30" s="14"/>
      <c r="AE30" s="14"/>
      <c r="AF30" s="14"/>
      <c r="AG30" s="14"/>
    </row>
    <row r="31" spans="4:33" ht="18" customHeight="1" thickBot="1">
      <c r="D31" s="421"/>
      <c r="E31" s="359"/>
      <c r="F31" s="397"/>
      <c r="G31" s="16" t="s">
        <v>10</v>
      </c>
      <c r="H31" s="17" t="s">
        <v>11</v>
      </c>
      <c r="I31" s="17" t="s">
        <v>12</v>
      </c>
      <c r="J31" s="17" t="s">
        <v>13</v>
      </c>
      <c r="K31" s="17" t="s">
        <v>14</v>
      </c>
      <c r="L31" s="18" t="s">
        <v>15</v>
      </c>
      <c r="M31" s="19" t="s">
        <v>16</v>
      </c>
      <c r="N31" s="20" t="s">
        <v>17</v>
      </c>
      <c r="O31" s="21" t="s">
        <v>18</v>
      </c>
      <c r="P31" s="21" t="s">
        <v>19</v>
      </c>
      <c r="Q31" s="21" t="s">
        <v>20</v>
      </c>
      <c r="R31" s="21" t="s">
        <v>21</v>
      </c>
      <c r="S31" s="22" t="s">
        <v>22</v>
      </c>
      <c r="T31" s="22" t="s">
        <v>23</v>
      </c>
      <c r="U31" s="23" t="s">
        <v>24</v>
      </c>
      <c r="V31" s="20" t="s">
        <v>25</v>
      </c>
      <c r="W31" s="21" t="s">
        <v>26</v>
      </c>
      <c r="X31" s="21" t="s">
        <v>27</v>
      </c>
      <c r="Y31" s="21" t="s">
        <v>28</v>
      </c>
      <c r="Z31" s="21" t="s">
        <v>29</v>
      </c>
      <c r="AA31" s="22" t="s">
        <v>30</v>
      </c>
      <c r="AB31" s="22" t="s">
        <v>31</v>
      </c>
      <c r="AC31" s="24"/>
      <c r="AD31" s="25"/>
      <c r="AE31" s="25"/>
      <c r="AF31" s="25"/>
      <c r="AG31" s="25"/>
    </row>
    <row r="32" spans="4:33" ht="18" customHeight="1" thickTop="1" thickBot="1">
      <c r="D32" s="59">
        <v>0</v>
      </c>
      <c r="E32" s="59" t="s">
        <v>60</v>
      </c>
      <c r="F32" s="59">
        <v>0</v>
      </c>
      <c r="G32" s="440" t="s">
        <v>61</v>
      </c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28"/>
      <c r="AD32" s="29"/>
      <c r="AE32" s="29"/>
      <c r="AF32" s="29"/>
      <c r="AG32" s="29"/>
    </row>
    <row r="33" spans="4:33" ht="20.100000000000001" customHeight="1" thickTop="1">
      <c r="D33" s="30">
        <v>1</v>
      </c>
      <c r="E33" s="31" t="s">
        <v>62</v>
      </c>
      <c r="F33" s="30">
        <v>1</v>
      </c>
      <c r="G33" s="60">
        <v>9</v>
      </c>
      <c r="H33" s="61">
        <v>24</v>
      </c>
      <c r="I33" s="61">
        <v>12</v>
      </c>
      <c r="J33" s="62">
        <v>34</v>
      </c>
      <c r="K33" s="61">
        <v>15</v>
      </c>
      <c r="L33" s="62" t="s">
        <v>63</v>
      </c>
      <c r="M33" s="63">
        <v>11</v>
      </c>
      <c r="N33" s="64">
        <v>36</v>
      </c>
      <c r="O33" s="61">
        <v>16</v>
      </c>
      <c r="P33" s="61">
        <v>7</v>
      </c>
      <c r="Q33" s="61">
        <v>31</v>
      </c>
      <c r="R33" s="61">
        <v>10</v>
      </c>
      <c r="S33" s="62">
        <v>27</v>
      </c>
      <c r="T33" s="62">
        <v>26</v>
      </c>
      <c r="U33" s="62">
        <v>35</v>
      </c>
      <c r="V33" s="64">
        <v>13</v>
      </c>
      <c r="W33" s="61">
        <v>14</v>
      </c>
      <c r="X33" s="65">
        <v>5</v>
      </c>
      <c r="Y33" s="65" t="s">
        <v>64</v>
      </c>
      <c r="Z33" s="61">
        <v>2</v>
      </c>
      <c r="AA33" s="62">
        <v>1</v>
      </c>
      <c r="AB33" s="63">
        <v>3</v>
      </c>
      <c r="AC33" s="32"/>
      <c r="AD33" s="33"/>
      <c r="AE33" s="33"/>
      <c r="AF33" s="33"/>
      <c r="AG33" s="33"/>
    </row>
    <row r="34" spans="4:33" ht="20.100000000000001" customHeight="1">
      <c r="D34" s="34">
        <v>2</v>
      </c>
      <c r="E34" s="34" t="s">
        <v>65</v>
      </c>
      <c r="F34" s="34">
        <v>2</v>
      </c>
      <c r="G34" s="66">
        <v>9</v>
      </c>
      <c r="H34" s="37">
        <v>24</v>
      </c>
      <c r="I34" s="37">
        <v>12</v>
      </c>
      <c r="J34" s="39">
        <v>34</v>
      </c>
      <c r="K34" s="37">
        <v>15</v>
      </c>
      <c r="L34" s="39" t="s">
        <v>63</v>
      </c>
      <c r="M34" s="40">
        <v>11</v>
      </c>
      <c r="N34" s="36">
        <v>36</v>
      </c>
      <c r="O34" s="37">
        <v>16</v>
      </c>
      <c r="P34" s="37">
        <v>7</v>
      </c>
      <c r="Q34" s="37">
        <v>31</v>
      </c>
      <c r="R34" s="37">
        <v>10</v>
      </c>
      <c r="S34" s="39">
        <v>27</v>
      </c>
      <c r="T34" s="39">
        <v>26</v>
      </c>
      <c r="U34" s="39">
        <v>35</v>
      </c>
      <c r="V34" s="36">
        <v>13</v>
      </c>
      <c r="W34" s="37">
        <v>14</v>
      </c>
      <c r="X34" s="38">
        <v>5</v>
      </c>
      <c r="Y34" s="38" t="s">
        <v>64</v>
      </c>
      <c r="Z34" s="37">
        <v>2</v>
      </c>
      <c r="AA34" s="39">
        <v>1</v>
      </c>
      <c r="AB34" s="40">
        <v>3</v>
      </c>
      <c r="AC34" s="32"/>
      <c r="AD34" s="33"/>
      <c r="AE34" s="33"/>
      <c r="AF34" s="33"/>
      <c r="AG34" s="33"/>
    </row>
    <row r="35" spans="4:33" ht="20.100000000000001" customHeight="1">
      <c r="D35" s="34">
        <v>3</v>
      </c>
      <c r="E35" s="34" t="s">
        <v>66</v>
      </c>
      <c r="F35" s="34">
        <v>3</v>
      </c>
      <c r="G35" s="36">
        <v>9</v>
      </c>
      <c r="H35" s="37" t="s">
        <v>67</v>
      </c>
      <c r="I35" s="37">
        <v>20</v>
      </c>
      <c r="J35" s="37">
        <v>34</v>
      </c>
      <c r="K35" s="37">
        <v>24</v>
      </c>
      <c r="L35" s="39">
        <v>22</v>
      </c>
      <c r="M35" s="39">
        <v>11</v>
      </c>
      <c r="N35" s="36">
        <v>27</v>
      </c>
      <c r="O35" s="37">
        <v>18</v>
      </c>
      <c r="P35" s="37">
        <v>25</v>
      </c>
      <c r="Q35" s="37">
        <v>31</v>
      </c>
      <c r="R35" s="37">
        <v>10</v>
      </c>
      <c r="S35" s="39">
        <v>28</v>
      </c>
      <c r="T35" s="39">
        <v>26</v>
      </c>
      <c r="U35" s="40">
        <v>35</v>
      </c>
      <c r="V35" s="37">
        <v>13</v>
      </c>
      <c r="W35" s="37">
        <v>14</v>
      </c>
      <c r="X35" s="41">
        <v>5</v>
      </c>
      <c r="Y35" s="37" t="s">
        <v>64</v>
      </c>
      <c r="Z35" s="37">
        <v>16</v>
      </c>
      <c r="AA35" s="39">
        <v>1</v>
      </c>
      <c r="AB35" s="40">
        <v>2</v>
      </c>
      <c r="AC35" s="32"/>
      <c r="AD35" s="33"/>
      <c r="AE35" s="33"/>
      <c r="AF35" s="33"/>
      <c r="AG35" s="33"/>
    </row>
    <row r="36" spans="4:33" ht="20.100000000000001" customHeight="1">
      <c r="D36" s="34">
        <v>4</v>
      </c>
      <c r="E36" s="34" t="s">
        <v>68</v>
      </c>
      <c r="F36" s="34">
        <v>4</v>
      </c>
      <c r="G36" s="36">
        <v>19</v>
      </c>
      <c r="H36" s="37" t="s">
        <v>67</v>
      </c>
      <c r="I36" s="37">
        <v>20</v>
      </c>
      <c r="J36" s="37">
        <v>9</v>
      </c>
      <c r="K36" s="42">
        <v>24</v>
      </c>
      <c r="L36" s="43">
        <v>22</v>
      </c>
      <c r="M36" s="40">
        <v>4</v>
      </c>
      <c r="N36" s="36">
        <v>27</v>
      </c>
      <c r="O36" s="37">
        <v>18</v>
      </c>
      <c r="P36" s="37">
        <v>25</v>
      </c>
      <c r="Q36" s="37">
        <v>10</v>
      </c>
      <c r="R36" s="37">
        <v>31</v>
      </c>
      <c r="S36" s="39">
        <v>28</v>
      </c>
      <c r="T36" s="39">
        <v>7</v>
      </c>
      <c r="U36" s="40">
        <v>33</v>
      </c>
      <c r="V36" s="42">
        <v>5</v>
      </c>
      <c r="W36" s="42">
        <v>15</v>
      </c>
      <c r="X36" s="41">
        <v>11</v>
      </c>
      <c r="Y36" s="42">
        <v>13</v>
      </c>
      <c r="Z36" s="42">
        <v>16</v>
      </c>
      <c r="AA36" s="43" t="s">
        <v>69</v>
      </c>
      <c r="AB36" s="67">
        <v>2</v>
      </c>
      <c r="AC36" s="32"/>
      <c r="AD36" s="33"/>
      <c r="AE36" s="33"/>
      <c r="AF36" s="33"/>
      <c r="AG36" s="33"/>
    </row>
    <row r="37" spans="4:33" ht="20.100000000000001" customHeight="1">
      <c r="D37" s="34">
        <v>5</v>
      </c>
      <c r="E37" s="34" t="s">
        <v>44</v>
      </c>
      <c r="F37" s="44"/>
      <c r="G37" s="418" t="s">
        <v>45</v>
      </c>
      <c r="H37" s="384"/>
      <c r="I37" s="384"/>
      <c r="J37" s="384"/>
      <c r="K37" s="383"/>
      <c r="L37" s="383"/>
      <c r="M37" s="383"/>
      <c r="N37" s="384"/>
      <c r="O37" s="384"/>
      <c r="P37" s="384"/>
      <c r="Q37" s="384"/>
      <c r="R37" s="384"/>
      <c r="S37" s="384"/>
      <c r="T37" s="384"/>
      <c r="U37" s="384"/>
      <c r="V37" s="384"/>
      <c r="W37" s="383"/>
      <c r="X37" s="383"/>
      <c r="Y37" s="383"/>
      <c r="Z37" s="383"/>
      <c r="AA37" s="385"/>
      <c r="AB37" s="386"/>
      <c r="AC37" s="45"/>
      <c r="AD37" s="46"/>
      <c r="AE37" s="46"/>
      <c r="AF37" s="46"/>
      <c r="AG37" s="46"/>
    </row>
    <row r="38" spans="4:33" ht="20.100000000000001" customHeight="1">
      <c r="D38" s="34">
        <v>6</v>
      </c>
      <c r="E38" s="34" t="s">
        <v>70</v>
      </c>
      <c r="F38" s="34">
        <v>5</v>
      </c>
      <c r="G38" s="36">
        <v>19</v>
      </c>
      <c r="H38" s="37">
        <v>6</v>
      </c>
      <c r="I38" s="37">
        <v>20</v>
      </c>
      <c r="J38" s="37">
        <v>9</v>
      </c>
      <c r="K38" s="37">
        <v>12</v>
      </c>
      <c r="L38" s="39">
        <v>30</v>
      </c>
      <c r="M38" s="39">
        <v>4</v>
      </c>
      <c r="N38" s="36">
        <v>14</v>
      </c>
      <c r="O38" s="37">
        <v>34</v>
      </c>
      <c r="P38" s="37">
        <v>27</v>
      </c>
      <c r="Q38" s="37">
        <v>10</v>
      </c>
      <c r="R38" s="37">
        <v>31</v>
      </c>
      <c r="S38" s="39">
        <v>16</v>
      </c>
      <c r="T38" s="39">
        <v>7</v>
      </c>
      <c r="U38" s="40">
        <v>33</v>
      </c>
      <c r="V38" s="37">
        <v>5</v>
      </c>
      <c r="W38" s="37">
        <v>15</v>
      </c>
      <c r="X38" s="41">
        <v>11</v>
      </c>
      <c r="Y38" s="37">
        <v>13</v>
      </c>
      <c r="Z38" s="37">
        <v>1</v>
      </c>
      <c r="AA38" s="39" t="s">
        <v>69</v>
      </c>
      <c r="AB38" s="40">
        <v>18</v>
      </c>
      <c r="AC38" s="32"/>
      <c r="AD38" s="33"/>
      <c r="AE38" s="33"/>
      <c r="AF38" s="33"/>
      <c r="AG38" s="33"/>
    </row>
    <row r="39" spans="4:33" ht="20.100000000000001" customHeight="1">
      <c r="D39" s="34">
        <v>7</v>
      </c>
      <c r="E39" s="34" t="s">
        <v>71</v>
      </c>
      <c r="F39" s="34">
        <v>6</v>
      </c>
      <c r="G39" s="36">
        <v>17</v>
      </c>
      <c r="H39" s="37">
        <v>22</v>
      </c>
      <c r="I39" s="37">
        <v>15</v>
      </c>
      <c r="J39" s="37">
        <v>9</v>
      </c>
      <c r="K39" s="37">
        <v>12</v>
      </c>
      <c r="L39" s="39">
        <v>30</v>
      </c>
      <c r="M39" s="39">
        <v>6</v>
      </c>
      <c r="N39" s="36">
        <v>14</v>
      </c>
      <c r="O39" s="37">
        <v>34</v>
      </c>
      <c r="P39" s="37">
        <v>27</v>
      </c>
      <c r="Q39" s="37">
        <v>10</v>
      </c>
      <c r="R39" s="37">
        <v>31</v>
      </c>
      <c r="S39" s="39">
        <v>16</v>
      </c>
      <c r="T39" s="39">
        <v>25</v>
      </c>
      <c r="U39" s="40">
        <v>33</v>
      </c>
      <c r="V39" s="37">
        <v>5</v>
      </c>
      <c r="W39" s="37">
        <v>26</v>
      </c>
      <c r="X39" s="41">
        <v>19</v>
      </c>
      <c r="Y39" s="37">
        <v>13</v>
      </c>
      <c r="Z39" s="37">
        <v>1</v>
      </c>
      <c r="AA39" s="39" t="s">
        <v>69</v>
      </c>
      <c r="AB39" s="40">
        <v>18</v>
      </c>
      <c r="AC39" s="32"/>
      <c r="AD39" s="33"/>
      <c r="AE39" s="33"/>
      <c r="AF39" s="33"/>
      <c r="AG39" s="33"/>
    </row>
    <row r="40" spans="4:33" ht="20.100000000000001" customHeight="1">
      <c r="D40" s="34">
        <v>8</v>
      </c>
      <c r="E40" s="34" t="s">
        <v>72</v>
      </c>
      <c r="F40" s="34">
        <v>7</v>
      </c>
      <c r="G40" s="36">
        <v>17</v>
      </c>
      <c r="H40" s="37">
        <v>22</v>
      </c>
      <c r="I40" s="37">
        <v>15</v>
      </c>
      <c r="J40" s="37">
        <v>24</v>
      </c>
      <c r="K40" s="37">
        <v>21</v>
      </c>
      <c r="L40" s="39">
        <v>30</v>
      </c>
      <c r="M40" s="39" t="s">
        <v>63</v>
      </c>
      <c r="N40" s="36">
        <v>14</v>
      </c>
      <c r="O40" s="37">
        <v>34</v>
      </c>
      <c r="P40" s="37" t="s">
        <v>47</v>
      </c>
      <c r="Q40" s="37">
        <v>36</v>
      </c>
      <c r="R40" s="37">
        <v>7</v>
      </c>
      <c r="S40" s="39" t="s">
        <v>49</v>
      </c>
      <c r="T40" s="39">
        <v>25</v>
      </c>
      <c r="U40" s="40">
        <v>16</v>
      </c>
      <c r="V40" s="37">
        <v>2</v>
      </c>
      <c r="W40" s="37">
        <v>26</v>
      </c>
      <c r="X40" s="41">
        <v>19</v>
      </c>
      <c r="Y40" s="37">
        <v>6</v>
      </c>
      <c r="Z40" s="37">
        <v>1</v>
      </c>
      <c r="AA40" s="39">
        <v>11</v>
      </c>
      <c r="AB40" s="40">
        <v>18</v>
      </c>
      <c r="AC40" s="32"/>
      <c r="AD40" s="33"/>
      <c r="AE40" s="33"/>
      <c r="AF40" s="33"/>
      <c r="AG40" s="33"/>
    </row>
    <row r="41" spans="4:33" ht="20.100000000000001" customHeight="1">
      <c r="D41" s="34">
        <v>9</v>
      </c>
      <c r="E41" s="34" t="s">
        <v>73</v>
      </c>
      <c r="F41" s="44"/>
      <c r="G41" s="418" t="s">
        <v>52</v>
      </c>
      <c r="H41" s="384"/>
      <c r="I41" s="384"/>
      <c r="J41" s="383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7"/>
      <c r="AB41" s="388"/>
      <c r="AC41" s="11"/>
      <c r="AD41" s="12"/>
      <c r="AE41" s="12"/>
      <c r="AF41" s="12"/>
      <c r="AG41" s="12"/>
    </row>
    <row r="42" spans="4:33" ht="20.100000000000001" customHeight="1">
      <c r="D42" s="34">
        <v>10</v>
      </c>
      <c r="E42" s="34" t="s">
        <v>74</v>
      </c>
      <c r="F42" s="35">
        <v>8</v>
      </c>
      <c r="G42" s="36">
        <v>17</v>
      </c>
      <c r="H42" s="37">
        <v>34</v>
      </c>
      <c r="I42" s="37">
        <v>30</v>
      </c>
      <c r="J42" s="37">
        <v>24</v>
      </c>
      <c r="K42" s="37">
        <v>21</v>
      </c>
      <c r="L42" s="37">
        <v>9</v>
      </c>
      <c r="M42" s="40" t="s">
        <v>63</v>
      </c>
      <c r="N42" s="36">
        <v>18</v>
      </c>
      <c r="O42" s="37">
        <v>10</v>
      </c>
      <c r="P42" s="37" t="s">
        <v>47</v>
      </c>
      <c r="Q42" s="37">
        <v>36</v>
      </c>
      <c r="R42" s="37">
        <v>7</v>
      </c>
      <c r="S42" s="39" t="s">
        <v>49</v>
      </c>
      <c r="T42" s="39" t="s">
        <v>39</v>
      </c>
      <c r="U42" s="40">
        <v>16</v>
      </c>
      <c r="V42" s="37">
        <v>2</v>
      </c>
      <c r="W42" s="37">
        <v>26</v>
      </c>
      <c r="X42" s="41" t="s">
        <v>64</v>
      </c>
      <c r="Y42" s="37">
        <v>1</v>
      </c>
      <c r="Z42" s="37">
        <v>31</v>
      </c>
      <c r="AA42" s="39">
        <v>11</v>
      </c>
      <c r="AB42" s="40">
        <v>12</v>
      </c>
      <c r="AC42" s="32"/>
      <c r="AD42" s="33"/>
      <c r="AE42" s="33"/>
      <c r="AF42" s="33"/>
      <c r="AG42" s="33"/>
    </row>
    <row r="43" spans="4:33" ht="20.100000000000001" customHeight="1">
      <c r="D43" s="34">
        <v>11</v>
      </c>
      <c r="E43" s="52" t="s">
        <v>75</v>
      </c>
      <c r="F43" s="53">
        <v>9</v>
      </c>
      <c r="G43" s="36" t="s">
        <v>67</v>
      </c>
      <c r="H43" s="37">
        <v>34</v>
      </c>
      <c r="I43" s="37">
        <v>30</v>
      </c>
      <c r="J43" s="37">
        <v>22</v>
      </c>
      <c r="K43" s="37" t="s">
        <v>63</v>
      </c>
      <c r="L43" s="37">
        <v>9</v>
      </c>
      <c r="M43" s="40">
        <v>24</v>
      </c>
      <c r="N43" s="49">
        <v>18</v>
      </c>
      <c r="O43" s="47">
        <v>10</v>
      </c>
      <c r="P43" s="47">
        <v>16</v>
      </c>
      <c r="Q43" s="47" t="s">
        <v>40</v>
      </c>
      <c r="R43" s="47">
        <v>25</v>
      </c>
      <c r="S43" s="48">
        <v>7</v>
      </c>
      <c r="T43" s="48" t="s">
        <v>39</v>
      </c>
      <c r="U43" s="50" t="s">
        <v>47</v>
      </c>
      <c r="V43" s="47">
        <v>11</v>
      </c>
      <c r="W43" s="47">
        <v>36</v>
      </c>
      <c r="X43" s="51" t="s">
        <v>64</v>
      </c>
      <c r="Y43" s="47">
        <v>1</v>
      </c>
      <c r="Z43" s="47">
        <v>31</v>
      </c>
      <c r="AA43" s="48">
        <v>2</v>
      </c>
      <c r="AB43" s="50">
        <v>12</v>
      </c>
      <c r="AC43" s="32"/>
      <c r="AD43" s="33"/>
      <c r="AE43" s="33"/>
      <c r="AF43" s="33"/>
      <c r="AG43" s="33"/>
    </row>
    <row r="44" spans="4:33" ht="20.100000000000001" customHeight="1" thickBot="1">
      <c r="D44" s="52">
        <v>12</v>
      </c>
      <c r="E44" s="34" t="s">
        <v>76</v>
      </c>
      <c r="F44" s="34">
        <v>10</v>
      </c>
      <c r="G44" s="68" t="s">
        <v>67</v>
      </c>
      <c r="H44" s="69">
        <v>34</v>
      </c>
      <c r="I44" s="69">
        <v>30</v>
      </c>
      <c r="J44" s="69">
        <v>22</v>
      </c>
      <c r="K44" s="69" t="s">
        <v>63</v>
      </c>
      <c r="L44" s="69">
        <v>9</v>
      </c>
      <c r="M44" s="70">
        <v>24</v>
      </c>
      <c r="N44" s="68">
        <v>18</v>
      </c>
      <c r="O44" s="69">
        <v>10</v>
      </c>
      <c r="P44" s="69">
        <v>16</v>
      </c>
      <c r="Q44" s="69" t="s">
        <v>40</v>
      </c>
      <c r="R44" s="69">
        <v>25</v>
      </c>
      <c r="S44" s="71">
        <v>7</v>
      </c>
      <c r="T44" s="71" t="s">
        <v>39</v>
      </c>
      <c r="U44" s="70" t="s">
        <v>47</v>
      </c>
      <c r="V44" s="69">
        <v>11</v>
      </c>
      <c r="W44" s="69">
        <v>36</v>
      </c>
      <c r="X44" s="72" t="s">
        <v>64</v>
      </c>
      <c r="Y44" s="69">
        <v>1</v>
      </c>
      <c r="Z44" s="69">
        <v>31</v>
      </c>
      <c r="AA44" s="71">
        <v>2</v>
      </c>
      <c r="AB44" s="70">
        <v>12</v>
      </c>
      <c r="AC44" s="32"/>
      <c r="AD44" s="33"/>
      <c r="AE44" s="33"/>
      <c r="AF44" s="33"/>
      <c r="AG44" s="33"/>
    </row>
    <row r="45" spans="4:33" ht="20.100000000000001" customHeight="1" thickTop="1" thickBot="1">
      <c r="D45" s="54">
        <v>13</v>
      </c>
      <c r="E45" s="15" t="s">
        <v>57</v>
      </c>
      <c r="F45" s="55"/>
      <c r="G45" s="442" t="s">
        <v>58</v>
      </c>
      <c r="H45" s="443"/>
      <c r="I45" s="443"/>
      <c r="J45" s="443"/>
      <c r="K45" s="443"/>
      <c r="L45" s="443"/>
      <c r="M45" s="443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/>
      <c r="Z45" s="390"/>
      <c r="AA45" s="391"/>
      <c r="AB45" s="392"/>
      <c r="AC45" s="45"/>
      <c r="AD45" s="46"/>
      <c r="AE45" s="46"/>
      <c r="AF45" s="46"/>
      <c r="AG45" s="46"/>
    </row>
    <row r="46" spans="4:33" ht="20.100000000000001" customHeight="1" thickTop="1">
      <c r="D46" s="56"/>
      <c r="E46" s="56"/>
      <c r="F46" s="56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46"/>
      <c r="AD46" s="46"/>
      <c r="AE46" s="46"/>
      <c r="AF46" s="46"/>
      <c r="AG46" s="46"/>
    </row>
    <row r="47" spans="4:33" ht="20.100000000000001" customHeight="1">
      <c r="D47" s="56"/>
      <c r="E47" s="56"/>
      <c r="F47" s="56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46"/>
      <c r="AD47" s="46"/>
      <c r="AE47" s="46"/>
      <c r="AF47" s="46"/>
      <c r="AG47" s="46"/>
    </row>
    <row r="48" spans="4:33" ht="20.100000000000001" customHeight="1">
      <c r="D48" s="56"/>
      <c r="E48" s="56"/>
      <c r="F48" s="56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46"/>
      <c r="AD48" s="46"/>
      <c r="AE48" s="46"/>
      <c r="AF48" s="46"/>
      <c r="AG48" s="46"/>
    </row>
    <row r="49" spans="4:33" ht="18" customHeight="1" thickBot="1">
      <c r="D49" s="56"/>
      <c r="E49" s="56"/>
      <c r="F49" s="56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spans="4:33" ht="18" customHeight="1" thickTop="1" thickBot="1">
      <c r="D50" s="419" t="s">
        <v>2</v>
      </c>
      <c r="E50" s="393" t="s">
        <v>3</v>
      </c>
      <c r="F50" s="395" t="s">
        <v>4</v>
      </c>
      <c r="G50" s="428" t="s">
        <v>77</v>
      </c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9"/>
      <c r="AB50" s="430"/>
      <c r="AC50" s="33"/>
      <c r="AD50" s="33"/>
      <c r="AE50" s="33"/>
      <c r="AF50" s="33"/>
      <c r="AG50" s="33"/>
    </row>
    <row r="51" spans="4:33" ht="18" customHeight="1" thickTop="1">
      <c r="D51" s="420"/>
      <c r="E51" s="394"/>
      <c r="F51" s="396"/>
      <c r="G51" s="431" t="s">
        <v>6</v>
      </c>
      <c r="H51" s="432"/>
      <c r="I51" s="432"/>
      <c r="J51" s="432"/>
      <c r="K51" s="432"/>
      <c r="L51" s="432"/>
      <c r="M51" s="433"/>
      <c r="N51" s="434" t="s">
        <v>6</v>
      </c>
      <c r="O51" s="434"/>
      <c r="P51" s="434"/>
      <c r="Q51" s="434"/>
      <c r="R51" s="434"/>
      <c r="S51" s="434"/>
      <c r="T51" s="434"/>
      <c r="U51" s="435"/>
      <c r="V51" s="432" t="s">
        <v>6</v>
      </c>
      <c r="W51" s="432"/>
      <c r="X51" s="432"/>
      <c r="Y51" s="432"/>
      <c r="Z51" s="432"/>
      <c r="AA51" s="432"/>
      <c r="AB51" s="433"/>
      <c r="AC51" s="33"/>
      <c r="AD51" s="33"/>
      <c r="AE51" s="33"/>
      <c r="AF51" s="33"/>
      <c r="AG51" s="33"/>
    </row>
    <row r="52" spans="4:33" ht="18" customHeight="1">
      <c r="D52" s="420"/>
      <c r="E52" s="394"/>
      <c r="F52" s="396"/>
      <c r="G52" s="436" t="s">
        <v>7</v>
      </c>
      <c r="H52" s="437"/>
      <c r="I52" s="437"/>
      <c r="J52" s="437"/>
      <c r="K52" s="437"/>
      <c r="L52" s="437"/>
      <c r="M52" s="438"/>
      <c r="N52" s="372" t="s">
        <v>8</v>
      </c>
      <c r="O52" s="372"/>
      <c r="P52" s="372"/>
      <c r="Q52" s="372"/>
      <c r="R52" s="372"/>
      <c r="S52" s="372"/>
      <c r="T52" s="372"/>
      <c r="U52" s="373"/>
      <c r="V52" s="436" t="s">
        <v>9</v>
      </c>
      <c r="W52" s="437"/>
      <c r="X52" s="437"/>
      <c r="Y52" s="437"/>
      <c r="Z52" s="437"/>
      <c r="AA52" s="437"/>
      <c r="AB52" s="438"/>
      <c r="AC52" s="33"/>
      <c r="AD52" s="33"/>
      <c r="AE52" s="33"/>
      <c r="AF52" s="33"/>
      <c r="AG52" s="33"/>
    </row>
    <row r="53" spans="4:33" ht="18" customHeight="1" thickBot="1">
      <c r="D53" s="421"/>
      <c r="E53" s="359"/>
      <c r="F53" s="397"/>
      <c r="G53" s="16" t="s">
        <v>10</v>
      </c>
      <c r="H53" s="17" t="s">
        <v>11</v>
      </c>
      <c r="I53" s="17" t="s">
        <v>12</v>
      </c>
      <c r="J53" s="17" t="s">
        <v>13</v>
      </c>
      <c r="K53" s="17" t="s">
        <v>14</v>
      </c>
      <c r="L53" s="18" t="s">
        <v>15</v>
      </c>
      <c r="M53" s="19" t="s">
        <v>16</v>
      </c>
      <c r="N53" s="20" t="s">
        <v>17</v>
      </c>
      <c r="O53" s="21" t="s">
        <v>18</v>
      </c>
      <c r="P53" s="21" t="s">
        <v>19</v>
      </c>
      <c r="Q53" s="21" t="s">
        <v>20</v>
      </c>
      <c r="R53" s="21" t="s">
        <v>21</v>
      </c>
      <c r="S53" s="22" t="s">
        <v>22</v>
      </c>
      <c r="T53" s="22" t="s">
        <v>23</v>
      </c>
      <c r="U53" s="23" t="s">
        <v>24</v>
      </c>
      <c r="V53" s="20" t="s">
        <v>25</v>
      </c>
      <c r="W53" s="21" t="s">
        <v>26</v>
      </c>
      <c r="X53" s="21" t="s">
        <v>27</v>
      </c>
      <c r="Y53" s="21" t="s">
        <v>28</v>
      </c>
      <c r="Z53" s="21" t="s">
        <v>29</v>
      </c>
      <c r="AA53" s="22" t="s">
        <v>30</v>
      </c>
      <c r="AB53" s="23" t="s">
        <v>31</v>
      </c>
      <c r="AC53" s="33"/>
      <c r="AD53" s="33"/>
      <c r="AE53" s="33"/>
      <c r="AF53" s="33"/>
      <c r="AG53" s="33"/>
    </row>
    <row r="54" spans="4:33" ht="18" customHeight="1" thickTop="1" thickBot="1">
      <c r="D54" s="74">
        <v>0</v>
      </c>
      <c r="E54" s="74" t="s">
        <v>60</v>
      </c>
      <c r="F54" s="74">
        <v>0</v>
      </c>
      <c r="G54" s="415" t="s">
        <v>78</v>
      </c>
      <c r="H54" s="416"/>
      <c r="I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  <c r="V54" s="416"/>
      <c r="W54" s="416"/>
      <c r="X54" s="416"/>
      <c r="Y54" s="416"/>
      <c r="Z54" s="416"/>
      <c r="AA54" s="416"/>
      <c r="AB54" s="417"/>
      <c r="AC54" s="33"/>
      <c r="AD54" s="33"/>
      <c r="AE54" s="33"/>
      <c r="AF54" s="33"/>
      <c r="AG54" s="33"/>
    </row>
    <row r="55" spans="4:33" ht="20.100000000000001" customHeight="1" thickTop="1">
      <c r="D55" s="30">
        <v>1</v>
      </c>
      <c r="E55" s="31" t="s">
        <v>62</v>
      </c>
      <c r="F55" s="30">
        <v>1</v>
      </c>
      <c r="G55" s="60">
        <v>32</v>
      </c>
      <c r="H55" s="61">
        <v>9</v>
      </c>
      <c r="I55" s="61">
        <v>17</v>
      </c>
      <c r="J55" s="62">
        <v>6</v>
      </c>
      <c r="K55" s="61">
        <v>24</v>
      </c>
      <c r="L55" s="62">
        <v>15</v>
      </c>
      <c r="M55" s="63">
        <v>20</v>
      </c>
      <c r="N55" s="64">
        <v>10</v>
      </c>
      <c r="O55" s="61" t="s">
        <v>49</v>
      </c>
      <c r="P55" s="61">
        <v>34</v>
      </c>
      <c r="Q55" s="61">
        <v>7</v>
      </c>
      <c r="R55" s="61">
        <v>26</v>
      </c>
      <c r="S55" s="62">
        <v>14</v>
      </c>
      <c r="T55" s="62">
        <v>33</v>
      </c>
      <c r="U55" s="62">
        <v>28</v>
      </c>
      <c r="V55" s="64">
        <v>19</v>
      </c>
      <c r="W55" s="61">
        <v>13</v>
      </c>
      <c r="X55" s="65">
        <v>8</v>
      </c>
      <c r="Y55" s="65">
        <v>31</v>
      </c>
      <c r="Z55" s="61">
        <v>5</v>
      </c>
      <c r="AA55" s="62">
        <v>11</v>
      </c>
      <c r="AB55" s="63">
        <v>1</v>
      </c>
      <c r="AC55" s="33"/>
      <c r="AD55" s="33"/>
      <c r="AE55" s="33"/>
      <c r="AF55" s="33"/>
      <c r="AG55" s="33"/>
    </row>
    <row r="56" spans="4:33" ht="20.100000000000001" customHeight="1">
      <c r="D56" s="34">
        <v>2</v>
      </c>
      <c r="E56" s="34" t="s">
        <v>65</v>
      </c>
      <c r="F56" s="34">
        <v>2</v>
      </c>
      <c r="G56" s="66">
        <v>32</v>
      </c>
      <c r="H56" s="37">
        <v>9</v>
      </c>
      <c r="I56" s="37">
        <v>17</v>
      </c>
      <c r="J56" s="39">
        <v>22</v>
      </c>
      <c r="K56" s="37">
        <v>24</v>
      </c>
      <c r="L56" s="39">
        <v>15</v>
      </c>
      <c r="M56" s="40">
        <v>20</v>
      </c>
      <c r="N56" s="36">
        <v>10</v>
      </c>
      <c r="O56" s="37" t="s">
        <v>49</v>
      </c>
      <c r="P56" s="37">
        <v>34</v>
      </c>
      <c r="Q56" s="37">
        <v>7</v>
      </c>
      <c r="R56" s="37">
        <v>26</v>
      </c>
      <c r="S56" s="39">
        <v>14</v>
      </c>
      <c r="T56" s="39">
        <v>33</v>
      </c>
      <c r="U56" s="39">
        <v>28</v>
      </c>
      <c r="V56" s="36">
        <v>19</v>
      </c>
      <c r="W56" s="37">
        <v>13</v>
      </c>
      <c r="X56" s="38">
        <v>8</v>
      </c>
      <c r="Y56" s="38">
        <v>31</v>
      </c>
      <c r="Z56" s="37">
        <v>5</v>
      </c>
      <c r="AA56" s="39">
        <v>11</v>
      </c>
      <c r="AB56" s="40">
        <v>1</v>
      </c>
      <c r="AC56" s="33"/>
      <c r="AD56" s="33"/>
      <c r="AE56" s="33"/>
      <c r="AF56" s="33"/>
      <c r="AG56" s="33"/>
    </row>
    <row r="57" spans="4:33" ht="20.100000000000001" customHeight="1">
      <c r="D57" s="34">
        <v>3</v>
      </c>
      <c r="E57" s="34" t="s">
        <v>66</v>
      </c>
      <c r="F57" s="34">
        <v>3</v>
      </c>
      <c r="G57" s="36">
        <v>32</v>
      </c>
      <c r="H57" s="37">
        <v>9</v>
      </c>
      <c r="I57" s="37">
        <v>17</v>
      </c>
      <c r="J57" s="37">
        <v>22</v>
      </c>
      <c r="K57" s="37">
        <v>19</v>
      </c>
      <c r="L57" s="39">
        <v>6</v>
      </c>
      <c r="M57" s="39">
        <v>20</v>
      </c>
      <c r="N57" s="36">
        <v>10</v>
      </c>
      <c r="O57" s="37" t="s">
        <v>47</v>
      </c>
      <c r="P57" s="37">
        <v>34</v>
      </c>
      <c r="Q57" s="37" t="s">
        <v>49</v>
      </c>
      <c r="R57" s="37">
        <v>27</v>
      </c>
      <c r="S57" s="39">
        <v>26</v>
      </c>
      <c r="T57" s="39">
        <v>33</v>
      </c>
      <c r="U57" s="40">
        <v>28</v>
      </c>
      <c r="V57" s="37">
        <v>14</v>
      </c>
      <c r="W57" s="37">
        <v>13</v>
      </c>
      <c r="X57" s="41">
        <v>36</v>
      </c>
      <c r="Y57" s="37">
        <v>15</v>
      </c>
      <c r="Z57" s="37">
        <v>5</v>
      </c>
      <c r="AA57" s="39">
        <v>11</v>
      </c>
      <c r="AB57" s="40">
        <v>1</v>
      </c>
      <c r="AC57" s="33"/>
      <c r="AD57" s="33"/>
      <c r="AE57" s="33"/>
      <c r="AF57" s="33"/>
      <c r="AG57" s="33"/>
    </row>
    <row r="58" spans="4:33" ht="20.100000000000001" customHeight="1">
      <c r="D58" s="34">
        <v>4</v>
      </c>
      <c r="E58" s="34" t="s">
        <v>68</v>
      </c>
      <c r="F58" s="34">
        <v>4</v>
      </c>
      <c r="G58" s="36">
        <v>11</v>
      </c>
      <c r="H58" s="37">
        <v>17</v>
      </c>
      <c r="I58" s="37">
        <v>32</v>
      </c>
      <c r="J58" s="37">
        <v>12</v>
      </c>
      <c r="K58" s="42">
        <v>19</v>
      </c>
      <c r="L58" s="43">
        <v>20</v>
      </c>
      <c r="M58" s="40">
        <v>24</v>
      </c>
      <c r="N58" s="36">
        <v>7</v>
      </c>
      <c r="O58" s="37" t="s">
        <v>47</v>
      </c>
      <c r="P58" s="37">
        <v>10</v>
      </c>
      <c r="Q58" s="37" t="s">
        <v>49</v>
      </c>
      <c r="R58" s="37">
        <v>27</v>
      </c>
      <c r="S58" s="39">
        <v>26</v>
      </c>
      <c r="T58" s="39" t="s">
        <v>43</v>
      </c>
      <c r="U58" s="40">
        <v>4</v>
      </c>
      <c r="V58" s="42">
        <v>14</v>
      </c>
      <c r="W58" s="42">
        <v>31</v>
      </c>
      <c r="X58" s="41">
        <v>36</v>
      </c>
      <c r="Y58" s="42">
        <v>15</v>
      </c>
      <c r="Z58" s="42">
        <v>13</v>
      </c>
      <c r="AA58" s="43">
        <v>2</v>
      </c>
      <c r="AB58" s="67">
        <v>16</v>
      </c>
      <c r="AC58" s="33"/>
      <c r="AD58" s="33"/>
      <c r="AE58" s="33"/>
      <c r="AF58" s="33"/>
      <c r="AG58" s="33"/>
    </row>
    <row r="59" spans="4:33" ht="20.100000000000001" customHeight="1">
      <c r="D59" s="34">
        <v>5</v>
      </c>
      <c r="E59" s="34" t="s">
        <v>44</v>
      </c>
      <c r="F59" s="44"/>
      <c r="G59" s="418" t="s">
        <v>45</v>
      </c>
      <c r="H59" s="384"/>
      <c r="I59" s="384"/>
      <c r="J59" s="384"/>
      <c r="K59" s="383"/>
      <c r="L59" s="383"/>
      <c r="M59" s="383"/>
      <c r="N59" s="384"/>
      <c r="O59" s="384"/>
      <c r="P59" s="384"/>
      <c r="Q59" s="384"/>
      <c r="R59" s="384"/>
      <c r="S59" s="384"/>
      <c r="T59" s="384"/>
      <c r="U59" s="384"/>
      <c r="V59" s="384"/>
      <c r="W59" s="383"/>
      <c r="X59" s="383"/>
      <c r="Y59" s="383"/>
      <c r="Z59" s="383"/>
      <c r="AA59" s="385"/>
      <c r="AB59" s="386"/>
      <c r="AC59" s="33"/>
      <c r="AD59" s="33"/>
      <c r="AE59" s="33"/>
      <c r="AF59" s="33"/>
      <c r="AG59" s="33"/>
    </row>
    <row r="60" spans="4:33" ht="20.100000000000001" customHeight="1">
      <c r="D60" s="34">
        <v>6</v>
      </c>
      <c r="E60" s="34" t="s">
        <v>70</v>
      </c>
      <c r="F60" s="34">
        <v>5</v>
      </c>
      <c r="G60" s="36">
        <v>11</v>
      </c>
      <c r="H60" s="37">
        <v>17</v>
      </c>
      <c r="I60" s="37">
        <v>32</v>
      </c>
      <c r="J60" s="37">
        <v>12</v>
      </c>
      <c r="K60" s="37">
        <v>34</v>
      </c>
      <c r="L60" s="39">
        <v>20</v>
      </c>
      <c r="M60" s="39">
        <v>24</v>
      </c>
      <c r="N60" s="36">
        <v>7</v>
      </c>
      <c r="O60" s="37">
        <v>36</v>
      </c>
      <c r="P60" s="37">
        <v>10</v>
      </c>
      <c r="Q60" s="37">
        <v>27</v>
      </c>
      <c r="R60" s="37" t="s">
        <v>40</v>
      </c>
      <c r="S60" s="39">
        <v>33</v>
      </c>
      <c r="T60" s="39" t="s">
        <v>43</v>
      </c>
      <c r="U60" s="40">
        <v>4</v>
      </c>
      <c r="V60" s="37">
        <v>14</v>
      </c>
      <c r="W60" s="37">
        <v>31</v>
      </c>
      <c r="X60" s="41">
        <v>1</v>
      </c>
      <c r="Y60" s="37">
        <v>3</v>
      </c>
      <c r="Z60" s="37">
        <v>13</v>
      </c>
      <c r="AA60" s="39">
        <v>2</v>
      </c>
      <c r="AB60" s="40">
        <v>16</v>
      </c>
      <c r="AC60" s="33"/>
      <c r="AD60" s="33"/>
      <c r="AE60" s="33"/>
      <c r="AF60" s="33"/>
      <c r="AG60" s="33"/>
    </row>
    <row r="61" spans="4:33" ht="20.100000000000001" customHeight="1">
      <c r="D61" s="34">
        <v>7</v>
      </c>
      <c r="E61" s="34" t="s">
        <v>71</v>
      </c>
      <c r="F61" s="34">
        <v>6</v>
      </c>
      <c r="G61" s="36">
        <v>11</v>
      </c>
      <c r="H61" s="37">
        <v>17</v>
      </c>
      <c r="I61" s="37">
        <v>32</v>
      </c>
      <c r="J61" s="37">
        <v>24</v>
      </c>
      <c r="K61" s="37">
        <v>34</v>
      </c>
      <c r="L61" s="39">
        <v>20</v>
      </c>
      <c r="M61" s="39">
        <v>15</v>
      </c>
      <c r="N61" s="36">
        <v>14</v>
      </c>
      <c r="O61" s="37">
        <v>36</v>
      </c>
      <c r="P61" s="37">
        <v>10</v>
      </c>
      <c r="Q61" s="37">
        <v>27</v>
      </c>
      <c r="R61" s="37" t="s">
        <v>40</v>
      </c>
      <c r="S61" s="39">
        <v>33</v>
      </c>
      <c r="T61" s="39" t="s">
        <v>43</v>
      </c>
      <c r="U61" s="40">
        <v>25</v>
      </c>
      <c r="V61" s="37">
        <v>8</v>
      </c>
      <c r="W61" s="37">
        <v>5</v>
      </c>
      <c r="X61" s="41">
        <v>1</v>
      </c>
      <c r="Y61" s="37">
        <v>3</v>
      </c>
      <c r="Z61" s="37">
        <v>13</v>
      </c>
      <c r="AA61" s="39">
        <v>2</v>
      </c>
      <c r="AB61" s="40">
        <v>31</v>
      </c>
      <c r="AC61" s="33"/>
      <c r="AD61" s="33"/>
      <c r="AE61" s="33"/>
      <c r="AF61" s="33"/>
      <c r="AG61" s="33"/>
    </row>
    <row r="62" spans="4:33" ht="20.100000000000001" customHeight="1">
      <c r="D62" s="34">
        <v>8</v>
      </c>
      <c r="E62" s="34" t="s">
        <v>72</v>
      </c>
      <c r="F62" s="34">
        <v>7</v>
      </c>
      <c r="G62" s="36">
        <v>21</v>
      </c>
      <c r="H62" s="37">
        <v>12</v>
      </c>
      <c r="I62" s="37">
        <v>4</v>
      </c>
      <c r="J62" s="37">
        <v>24</v>
      </c>
      <c r="K62" s="37">
        <v>34</v>
      </c>
      <c r="L62" s="39">
        <v>22</v>
      </c>
      <c r="M62" s="39">
        <v>15</v>
      </c>
      <c r="N62" s="36">
        <v>14</v>
      </c>
      <c r="O62" s="37">
        <v>7</v>
      </c>
      <c r="P62" s="37" t="s">
        <v>40</v>
      </c>
      <c r="Q62" s="37">
        <v>16</v>
      </c>
      <c r="R62" s="37" t="s">
        <v>47</v>
      </c>
      <c r="S62" s="39">
        <v>33</v>
      </c>
      <c r="T62" s="39">
        <v>26</v>
      </c>
      <c r="U62" s="40">
        <v>25</v>
      </c>
      <c r="V62" s="37">
        <v>8</v>
      </c>
      <c r="W62" s="37">
        <v>5</v>
      </c>
      <c r="X62" s="41">
        <v>1</v>
      </c>
      <c r="Y62" s="37">
        <v>36</v>
      </c>
      <c r="Z62" s="37">
        <v>19</v>
      </c>
      <c r="AA62" s="39">
        <v>18</v>
      </c>
      <c r="AB62" s="40">
        <v>31</v>
      </c>
      <c r="AC62" s="33"/>
      <c r="AD62" s="33"/>
      <c r="AE62" s="33"/>
      <c r="AF62" s="33"/>
      <c r="AG62" s="33"/>
    </row>
    <row r="63" spans="4:33" ht="20.100000000000001" customHeight="1">
      <c r="D63" s="34">
        <v>9</v>
      </c>
      <c r="E63" s="34" t="s">
        <v>73</v>
      </c>
      <c r="F63" s="44"/>
      <c r="G63" s="418" t="s">
        <v>52</v>
      </c>
      <c r="H63" s="384"/>
      <c r="I63" s="384"/>
      <c r="J63" s="383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7"/>
      <c r="AB63" s="388"/>
      <c r="AC63" s="33"/>
      <c r="AD63" s="33"/>
      <c r="AE63" s="33"/>
      <c r="AF63" s="33"/>
      <c r="AG63" s="33"/>
    </row>
    <row r="64" spans="4:33" ht="20.100000000000001" customHeight="1">
      <c r="D64" s="34">
        <v>10</v>
      </c>
      <c r="E64" s="34" t="s">
        <v>74</v>
      </c>
      <c r="F64" s="35">
        <v>8</v>
      </c>
      <c r="G64" s="36">
        <v>21</v>
      </c>
      <c r="H64" s="37">
        <v>12</v>
      </c>
      <c r="I64" s="37">
        <v>4</v>
      </c>
      <c r="J64" s="37">
        <v>17</v>
      </c>
      <c r="K64" s="37">
        <v>9</v>
      </c>
      <c r="L64" s="39">
        <v>22</v>
      </c>
      <c r="M64" s="39">
        <v>30</v>
      </c>
      <c r="N64" s="36">
        <v>28</v>
      </c>
      <c r="O64" s="37">
        <v>7</v>
      </c>
      <c r="P64" s="37" t="s">
        <v>40</v>
      </c>
      <c r="Q64" s="37">
        <v>16</v>
      </c>
      <c r="R64" s="37" t="s">
        <v>47</v>
      </c>
      <c r="S64" s="39" t="s">
        <v>49</v>
      </c>
      <c r="T64" s="39">
        <v>26</v>
      </c>
      <c r="U64" s="40">
        <v>34</v>
      </c>
      <c r="V64" s="37">
        <v>11</v>
      </c>
      <c r="W64" s="37">
        <v>5</v>
      </c>
      <c r="X64" s="41">
        <v>13</v>
      </c>
      <c r="Y64" s="37">
        <v>36</v>
      </c>
      <c r="Z64" s="37">
        <v>19</v>
      </c>
      <c r="AA64" s="39">
        <v>18</v>
      </c>
      <c r="AB64" s="40">
        <v>2</v>
      </c>
      <c r="AC64" s="33"/>
      <c r="AD64" s="33"/>
      <c r="AE64" s="33"/>
      <c r="AF64" s="33"/>
      <c r="AG64" s="33"/>
    </row>
    <row r="65" spans="4:33" ht="20.100000000000001" customHeight="1">
      <c r="D65" s="34">
        <v>11</v>
      </c>
      <c r="E65" s="52" t="s">
        <v>75</v>
      </c>
      <c r="F65" s="53">
        <v>9</v>
      </c>
      <c r="G65" s="36">
        <v>12</v>
      </c>
      <c r="H65" s="37">
        <v>15</v>
      </c>
      <c r="I65" s="37">
        <v>21</v>
      </c>
      <c r="J65" s="37">
        <v>17</v>
      </c>
      <c r="K65" s="37">
        <v>9</v>
      </c>
      <c r="L65" s="39">
        <v>24</v>
      </c>
      <c r="M65" s="39">
        <v>30</v>
      </c>
      <c r="N65" s="49">
        <v>28</v>
      </c>
      <c r="O65" s="47" t="s">
        <v>40</v>
      </c>
      <c r="P65" s="47">
        <v>7</v>
      </c>
      <c r="Q65" s="47">
        <v>25</v>
      </c>
      <c r="R65" s="47">
        <v>14</v>
      </c>
      <c r="S65" s="48" t="s">
        <v>49</v>
      </c>
      <c r="T65" s="48">
        <v>16</v>
      </c>
      <c r="U65" s="50">
        <v>34</v>
      </c>
      <c r="V65" s="47">
        <v>11</v>
      </c>
      <c r="W65" s="47">
        <v>19</v>
      </c>
      <c r="X65" s="51">
        <v>13</v>
      </c>
      <c r="Y65" s="47" t="s">
        <v>64</v>
      </c>
      <c r="Z65" s="47">
        <v>31</v>
      </c>
      <c r="AA65" s="48" t="s">
        <v>69</v>
      </c>
      <c r="AB65" s="50">
        <v>2</v>
      </c>
      <c r="AC65" s="33"/>
      <c r="AD65" s="33"/>
      <c r="AE65" s="33"/>
      <c r="AF65" s="33"/>
      <c r="AG65" s="33"/>
    </row>
    <row r="66" spans="4:33" ht="20.100000000000001" customHeight="1">
      <c r="D66" s="52">
        <v>12</v>
      </c>
      <c r="E66" s="34" t="s">
        <v>76</v>
      </c>
      <c r="F66" s="34">
        <v>10</v>
      </c>
      <c r="G66" s="36">
        <v>12</v>
      </c>
      <c r="H66" s="37">
        <v>15</v>
      </c>
      <c r="I66" s="37">
        <v>21</v>
      </c>
      <c r="J66" s="37">
        <v>17</v>
      </c>
      <c r="K66" s="37">
        <v>9</v>
      </c>
      <c r="L66" s="39">
        <v>24</v>
      </c>
      <c r="M66" s="39">
        <v>30</v>
      </c>
      <c r="N66" s="49">
        <v>28</v>
      </c>
      <c r="O66" s="47" t="s">
        <v>40</v>
      </c>
      <c r="P66" s="47">
        <v>7</v>
      </c>
      <c r="Q66" s="47">
        <v>25</v>
      </c>
      <c r="R66" s="47">
        <v>14</v>
      </c>
      <c r="S66" s="48" t="s">
        <v>49</v>
      </c>
      <c r="T66" s="48">
        <v>16</v>
      </c>
      <c r="U66" s="50">
        <v>34</v>
      </c>
      <c r="V66" s="47">
        <v>11</v>
      </c>
      <c r="W66" s="47">
        <v>19</v>
      </c>
      <c r="X66" s="51">
        <v>13</v>
      </c>
      <c r="Y66" s="47" t="s">
        <v>64</v>
      </c>
      <c r="Z66" s="47">
        <v>31</v>
      </c>
      <c r="AA66" s="48" t="s">
        <v>69</v>
      </c>
      <c r="AB66" s="50">
        <v>2</v>
      </c>
      <c r="AC66" s="33"/>
      <c r="AD66" s="33"/>
      <c r="AE66" s="33"/>
      <c r="AF66" s="33"/>
      <c r="AG66" s="33"/>
    </row>
    <row r="67" spans="4:33" ht="20.100000000000001" customHeight="1" thickBot="1">
      <c r="D67" s="54">
        <v>13</v>
      </c>
      <c r="E67" s="75" t="s">
        <v>57</v>
      </c>
      <c r="F67" s="55"/>
      <c r="G67" s="389" t="s">
        <v>58</v>
      </c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  <c r="AA67" s="391"/>
      <c r="AB67" s="392"/>
      <c r="AC67" s="33"/>
      <c r="AD67" s="33"/>
      <c r="AE67" s="33"/>
      <c r="AF67" s="33"/>
      <c r="AG67" s="33"/>
    </row>
    <row r="68" spans="4:33" ht="18" customHeight="1" thickTop="1">
      <c r="D68" s="56"/>
      <c r="E68" s="56"/>
      <c r="F68" s="56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spans="4:33" ht="18" customHeight="1">
      <c r="D69" s="56"/>
      <c r="E69" s="56"/>
      <c r="F69" s="56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spans="4:33" ht="18" customHeight="1">
      <c r="D70" s="56"/>
      <c r="E70" s="56"/>
      <c r="F70" s="56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spans="4:33" ht="18" customHeight="1">
      <c r="D71" s="56"/>
      <c r="E71" s="56"/>
      <c r="F71" s="56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spans="4:33" ht="18" customHeight="1">
      <c r="D72" s="56"/>
      <c r="E72" s="56"/>
      <c r="F72" s="56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spans="4:33" ht="18" customHeight="1">
      <c r="D73" s="56"/>
      <c r="E73" s="56"/>
      <c r="F73" s="56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spans="4:33" ht="18" customHeight="1">
      <c r="D74" s="56"/>
      <c r="E74" s="56"/>
      <c r="F74" s="56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spans="4:33" ht="18" customHeight="1">
      <c r="D75" s="56"/>
      <c r="E75" s="76"/>
      <c r="F75" s="56"/>
      <c r="G75" s="77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spans="4:33" ht="18" customHeight="1" thickBot="1">
      <c r="D76" s="56"/>
      <c r="E76" s="56"/>
      <c r="F76" s="56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spans="4:33" ht="18" customHeight="1" thickTop="1" thickBot="1">
      <c r="D77" s="419" t="s">
        <v>2</v>
      </c>
      <c r="E77" s="393" t="s">
        <v>3</v>
      </c>
      <c r="F77" s="395" t="s">
        <v>4</v>
      </c>
      <c r="G77" s="422" t="s">
        <v>79</v>
      </c>
      <c r="H77" s="423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23"/>
      <c r="X77" s="423"/>
      <c r="Y77" s="423"/>
      <c r="Z77" s="423"/>
      <c r="AA77" s="423"/>
      <c r="AB77" s="424"/>
      <c r="AC77" s="33"/>
      <c r="AD77" s="33"/>
      <c r="AE77" s="33"/>
      <c r="AF77" s="33"/>
      <c r="AG77" s="33"/>
    </row>
    <row r="78" spans="4:33" ht="18" customHeight="1" thickTop="1">
      <c r="D78" s="420"/>
      <c r="E78" s="394"/>
      <c r="F78" s="396"/>
      <c r="G78" s="425" t="s">
        <v>6</v>
      </c>
      <c r="H78" s="403"/>
      <c r="I78" s="403"/>
      <c r="J78" s="403"/>
      <c r="K78" s="403"/>
      <c r="L78" s="403"/>
      <c r="M78" s="404"/>
      <c r="N78" s="426" t="s">
        <v>6</v>
      </c>
      <c r="O78" s="426"/>
      <c r="P78" s="426"/>
      <c r="Q78" s="426"/>
      <c r="R78" s="426"/>
      <c r="S78" s="426"/>
      <c r="T78" s="426"/>
      <c r="U78" s="427"/>
      <c r="V78" s="403" t="s">
        <v>6</v>
      </c>
      <c r="W78" s="403"/>
      <c r="X78" s="403"/>
      <c r="Y78" s="403"/>
      <c r="Z78" s="403"/>
      <c r="AA78" s="403"/>
      <c r="AB78" s="404"/>
      <c r="AC78" s="33"/>
      <c r="AD78" s="33"/>
      <c r="AE78" s="33"/>
      <c r="AF78" s="33"/>
      <c r="AG78" s="33"/>
    </row>
    <row r="79" spans="4:33" ht="18" customHeight="1">
      <c r="D79" s="420"/>
      <c r="E79" s="394"/>
      <c r="F79" s="396"/>
      <c r="G79" s="405" t="s">
        <v>7</v>
      </c>
      <c r="H79" s="406"/>
      <c r="I79" s="406"/>
      <c r="J79" s="406"/>
      <c r="K79" s="406"/>
      <c r="L79" s="406"/>
      <c r="M79" s="407"/>
      <c r="N79" s="372" t="s">
        <v>8</v>
      </c>
      <c r="O79" s="372"/>
      <c r="P79" s="372"/>
      <c r="Q79" s="372"/>
      <c r="R79" s="372"/>
      <c r="S79" s="372"/>
      <c r="T79" s="372"/>
      <c r="U79" s="373"/>
      <c r="V79" s="406" t="s">
        <v>9</v>
      </c>
      <c r="W79" s="406"/>
      <c r="X79" s="406"/>
      <c r="Y79" s="406"/>
      <c r="Z79" s="406"/>
      <c r="AA79" s="406"/>
      <c r="AB79" s="407"/>
      <c r="AC79" s="33"/>
      <c r="AD79" s="33"/>
      <c r="AE79" s="33"/>
      <c r="AF79" s="33"/>
      <c r="AG79" s="33"/>
    </row>
    <row r="80" spans="4:33" ht="18" customHeight="1" thickBot="1">
      <c r="D80" s="421"/>
      <c r="E80" s="359"/>
      <c r="F80" s="397"/>
      <c r="G80" s="16" t="s">
        <v>10</v>
      </c>
      <c r="H80" s="17" t="s">
        <v>11</v>
      </c>
      <c r="I80" s="17" t="s">
        <v>12</v>
      </c>
      <c r="J80" s="17" t="s">
        <v>13</v>
      </c>
      <c r="K80" s="17" t="s">
        <v>14</v>
      </c>
      <c r="L80" s="18" t="s">
        <v>15</v>
      </c>
      <c r="M80" s="19" t="s">
        <v>16</v>
      </c>
      <c r="N80" s="20" t="s">
        <v>17</v>
      </c>
      <c r="O80" s="21" t="s">
        <v>18</v>
      </c>
      <c r="P80" s="21" t="s">
        <v>19</v>
      </c>
      <c r="Q80" s="21" t="s">
        <v>20</v>
      </c>
      <c r="R80" s="21" t="s">
        <v>21</v>
      </c>
      <c r="S80" s="22" t="s">
        <v>22</v>
      </c>
      <c r="T80" s="22" t="s">
        <v>23</v>
      </c>
      <c r="U80" s="23" t="s">
        <v>24</v>
      </c>
      <c r="V80" s="20" t="s">
        <v>25</v>
      </c>
      <c r="W80" s="21" t="s">
        <v>26</v>
      </c>
      <c r="X80" s="21" t="s">
        <v>27</v>
      </c>
      <c r="Y80" s="21" t="s">
        <v>28</v>
      </c>
      <c r="Z80" s="21" t="s">
        <v>29</v>
      </c>
      <c r="AA80" s="22" t="s">
        <v>30</v>
      </c>
      <c r="AB80" s="23" t="s">
        <v>31</v>
      </c>
      <c r="AC80" s="33"/>
      <c r="AD80" s="33"/>
      <c r="AE80" s="33"/>
      <c r="AF80" s="33"/>
      <c r="AG80" s="33"/>
    </row>
    <row r="81" spans="4:33" ht="18" customHeight="1" thickTop="1" thickBot="1">
      <c r="D81" s="78">
        <v>0</v>
      </c>
      <c r="E81" s="78" t="s">
        <v>32</v>
      </c>
      <c r="F81" s="78">
        <v>0</v>
      </c>
      <c r="G81" s="408" t="s">
        <v>80</v>
      </c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  <c r="Y81" s="409"/>
      <c r="Z81" s="409"/>
      <c r="AA81" s="409"/>
      <c r="AB81" s="410"/>
      <c r="AC81" s="33"/>
      <c r="AD81" s="33"/>
      <c r="AE81" s="33"/>
      <c r="AF81" s="33"/>
      <c r="AG81" s="33"/>
    </row>
    <row r="82" spans="4:33" ht="18" customHeight="1" thickTop="1">
      <c r="D82" s="30">
        <v>1</v>
      </c>
      <c r="E82" s="31" t="s">
        <v>34</v>
      </c>
      <c r="F82" s="30">
        <v>1</v>
      </c>
      <c r="G82" s="411" t="s">
        <v>81</v>
      </c>
      <c r="H82" s="412"/>
      <c r="I82" s="413"/>
      <c r="J82" s="413"/>
      <c r="K82" s="413"/>
      <c r="L82" s="413"/>
      <c r="M82" s="413"/>
      <c r="N82" s="413"/>
      <c r="O82" s="413"/>
      <c r="P82" s="413"/>
      <c r="Q82" s="413"/>
      <c r="R82" s="413"/>
      <c r="S82" s="413"/>
      <c r="T82" s="413"/>
      <c r="U82" s="413"/>
      <c r="V82" s="413"/>
      <c r="W82" s="413"/>
      <c r="X82" s="413"/>
      <c r="Y82" s="413"/>
      <c r="Z82" s="413"/>
      <c r="AA82" s="413"/>
      <c r="AB82" s="414"/>
      <c r="AC82" s="33"/>
      <c r="AD82" s="33"/>
      <c r="AE82" s="33"/>
      <c r="AF82" s="33"/>
      <c r="AG82" s="33"/>
    </row>
    <row r="83" spans="4:33" ht="18" customHeight="1">
      <c r="D83" s="34">
        <v>2</v>
      </c>
      <c r="E83" s="34" t="s">
        <v>36</v>
      </c>
      <c r="F83" s="35">
        <v>2</v>
      </c>
      <c r="G83" s="379" t="s">
        <v>82</v>
      </c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1"/>
      <c r="AC83" s="33"/>
      <c r="AD83" s="33"/>
      <c r="AE83" s="33"/>
      <c r="AF83" s="33"/>
      <c r="AG83" s="33"/>
    </row>
    <row r="84" spans="4:33" ht="18" customHeight="1">
      <c r="D84" s="34">
        <v>3</v>
      </c>
      <c r="E84" s="34" t="s">
        <v>38</v>
      </c>
      <c r="F84" s="35">
        <v>3</v>
      </c>
      <c r="G84" s="36">
        <v>20</v>
      </c>
      <c r="H84" s="37">
        <v>4</v>
      </c>
      <c r="I84" s="37">
        <v>22</v>
      </c>
      <c r="J84" s="37">
        <v>11</v>
      </c>
      <c r="K84" s="42">
        <v>30</v>
      </c>
      <c r="L84" s="43">
        <v>19</v>
      </c>
      <c r="M84" s="40">
        <v>17</v>
      </c>
      <c r="N84" s="36" t="s">
        <v>39</v>
      </c>
      <c r="O84" s="37">
        <v>34</v>
      </c>
      <c r="P84" s="37">
        <v>29</v>
      </c>
      <c r="Q84" s="37" t="s">
        <v>43</v>
      </c>
      <c r="R84" s="37">
        <v>7</v>
      </c>
      <c r="S84" s="39">
        <v>36</v>
      </c>
      <c r="T84" s="39">
        <v>31</v>
      </c>
      <c r="U84" s="40">
        <v>9</v>
      </c>
      <c r="V84" s="42">
        <v>14</v>
      </c>
      <c r="W84" s="42">
        <v>6</v>
      </c>
      <c r="X84" s="41">
        <v>26</v>
      </c>
      <c r="Y84" s="42">
        <v>16</v>
      </c>
      <c r="Z84" s="42" t="s">
        <v>69</v>
      </c>
      <c r="AA84" s="42">
        <v>15</v>
      </c>
      <c r="AB84" s="67">
        <v>18</v>
      </c>
      <c r="AC84" s="33"/>
      <c r="AD84" s="33"/>
      <c r="AE84" s="33"/>
      <c r="AF84" s="33"/>
      <c r="AG84" s="33"/>
    </row>
    <row r="85" spans="4:33" ht="18" customHeight="1">
      <c r="D85" s="34">
        <v>4</v>
      </c>
      <c r="E85" s="34" t="s">
        <v>41</v>
      </c>
      <c r="F85" s="35">
        <v>4</v>
      </c>
      <c r="G85" s="36">
        <v>20</v>
      </c>
      <c r="H85" s="37">
        <v>4</v>
      </c>
      <c r="I85" s="37">
        <v>22</v>
      </c>
      <c r="J85" s="37">
        <v>11</v>
      </c>
      <c r="K85" s="42">
        <v>30</v>
      </c>
      <c r="L85" s="43">
        <v>19</v>
      </c>
      <c r="M85" s="39">
        <v>17</v>
      </c>
      <c r="N85" s="36" t="s">
        <v>39</v>
      </c>
      <c r="O85" s="37">
        <v>34</v>
      </c>
      <c r="P85" s="37">
        <v>29</v>
      </c>
      <c r="Q85" s="37" t="s">
        <v>43</v>
      </c>
      <c r="R85" s="37">
        <v>7</v>
      </c>
      <c r="S85" s="39">
        <v>36</v>
      </c>
      <c r="T85" s="39">
        <v>31</v>
      </c>
      <c r="U85" s="40">
        <v>9</v>
      </c>
      <c r="V85" s="42">
        <v>14</v>
      </c>
      <c r="W85" s="42">
        <v>3</v>
      </c>
      <c r="X85" s="41">
        <v>26</v>
      </c>
      <c r="Y85" s="42">
        <v>16</v>
      </c>
      <c r="Z85" s="42" t="s">
        <v>69</v>
      </c>
      <c r="AA85" s="42">
        <v>15</v>
      </c>
      <c r="AB85" s="67">
        <v>18</v>
      </c>
      <c r="AC85" s="33"/>
      <c r="AD85" s="33"/>
      <c r="AE85" s="33"/>
      <c r="AF85" s="33"/>
      <c r="AG85" s="33"/>
    </row>
    <row r="86" spans="4:33" ht="18" customHeight="1">
      <c r="D86" s="34">
        <v>5</v>
      </c>
      <c r="E86" s="34" t="s">
        <v>42</v>
      </c>
      <c r="F86" s="35">
        <v>5</v>
      </c>
      <c r="G86" s="36">
        <v>20</v>
      </c>
      <c r="H86" s="37">
        <v>24</v>
      </c>
      <c r="I86" s="37">
        <v>6</v>
      </c>
      <c r="J86" s="37">
        <v>11</v>
      </c>
      <c r="K86" s="37">
        <v>30</v>
      </c>
      <c r="L86" s="39">
        <v>21</v>
      </c>
      <c r="M86" s="39">
        <v>17</v>
      </c>
      <c r="N86" s="36" t="s">
        <v>39</v>
      </c>
      <c r="O86" s="37">
        <v>18</v>
      </c>
      <c r="P86" s="37">
        <v>29</v>
      </c>
      <c r="Q86" s="37">
        <v>31</v>
      </c>
      <c r="R86" s="37">
        <v>33</v>
      </c>
      <c r="S86" s="39">
        <v>28</v>
      </c>
      <c r="T86" s="39">
        <v>27</v>
      </c>
      <c r="U86" s="40">
        <v>9</v>
      </c>
      <c r="V86" s="37">
        <v>36</v>
      </c>
      <c r="W86" s="37">
        <v>3</v>
      </c>
      <c r="X86" s="41">
        <v>26</v>
      </c>
      <c r="Y86" s="37">
        <v>12</v>
      </c>
      <c r="Z86" s="37" t="s">
        <v>69</v>
      </c>
      <c r="AA86" s="37">
        <v>16</v>
      </c>
      <c r="AB86" s="40">
        <v>8</v>
      </c>
      <c r="AC86" s="33"/>
      <c r="AD86" s="33"/>
      <c r="AE86" s="33"/>
      <c r="AF86" s="33"/>
      <c r="AG86" s="33"/>
    </row>
    <row r="87" spans="4:33" ht="18" customHeight="1">
      <c r="D87" s="34">
        <v>6</v>
      </c>
      <c r="E87" s="34" t="s">
        <v>44</v>
      </c>
      <c r="F87" s="44"/>
      <c r="G87" s="382" t="s">
        <v>45</v>
      </c>
      <c r="H87" s="383"/>
      <c r="I87" s="383"/>
      <c r="J87" s="383"/>
      <c r="K87" s="383"/>
      <c r="L87" s="383"/>
      <c r="M87" s="383"/>
      <c r="N87" s="384"/>
      <c r="O87" s="384"/>
      <c r="P87" s="384"/>
      <c r="Q87" s="384"/>
      <c r="R87" s="384"/>
      <c r="S87" s="384"/>
      <c r="T87" s="384"/>
      <c r="U87" s="384"/>
      <c r="V87" s="384"/>
      <c r="W87" s="383"/>
      <c r="X87" s="383"/>
      <c r="Y87" s="383"/>
      <c r="Z87" s="383"/>
      <c r="AA87" s="385"/>
      <c r="AB87" s="386"/>
      <c r="AC87" s="33"/>
      <c r="AD87" s="33"/>
      <c r="AE87" s="33"/>
      <c r="AF87" s="33"/>
      <c r="AG87" s="33"/>
    </row>
    <row r="88" spans="4:33" ht="18" customHeight="1">
      <c r="D88" s="34">
        <v>7</v>
      </c>
      <c r="E88" s="34" t="s">
        <v>46</v>
      </c>
      <c r="F88" s="34">
        <v>6</v>
      </c>
      <c r="G88" s="36">
        <v>6</v>
      </c>
      <c r="H88" s="37">
        <v>24</v>
      </c>
      <c r="I88" s="37">
        <v>19</v>
      </c>
      <c r="J88" s="37">
        <v>20</v>
      </c>
      <c r="K88" s="42">
        <v>17</v>
      </c>
      <c r="L88" s="43">
        <v>21</v>
      </c>
      <c r="M88" s="40">
        <v>34</v>
      </c>
      <c r="N88" s="36" t="s">
        <v>47</v>
      </c>
      <c r="O88" s="37">
        <v>18</v>
      </c>
      <c r="P88" s="37" t="s">
        <v>39</v>
      </c>
      <c r="Q88" s="37">
        <v>31</v>
      </c>
      <c r="R88" s="37">
        <v>33</v>
      </c>
      <c r="S88" s="39">
        <v>28</v>
      </c>
      <c r="T88" s="39">
        <v>27</v>
      </c>
      <c r="U88" s="40">
        <v>4</v>
      </c>
      <c r="V88" s="42">
        <v>36</v>
      </c>
      <c r="W88" s="42">
        <v>14</v>
      </c>
      <c r="X88" s="41">
        <v>3</v>
      </c>
      <c r="Y88" s="42">
        <v>12</v>
      </c>
      <c r="Z88" s="42">
        <v>15</v>
      </c>
      <c r="AA88" s="42">
        <v>16</v>
      </c>
      <c r="AB88" s="67">
        <v>8</v>
      </c>
      <c r="AC88" s="33"/>
      <c r="AD88" s="33"/>
      <c r="AE88" s="33"/>
      <c r="AF88" s="33"/>
      <c r="AG88" s="33"/>
    </row>
    <row r="89" spans="4:33" ht="18" customHeight="1">
      <c r="D89" s="34">
        <v>8</v>
      </c>
      <c r="E89" s="34" t="s">
        <v>48</v>
      </c>
      <c r="F89" s="34">
        <v>7</v>
      </c>
      <c r="G89" s="37">
        <v>22</v>
      </c>
      <c r="H89" s="37">
        <v>32</v>
      </c>
      <c r="I89" s="37">
        <v>19</v>
      </c>
      <c r="J89" s="37">
        <v>20</v>
      </c>
      <c r="K89" s="37">
        <v>17</v>
      </c>
      <c r="L89" s="37">
        <v>11</v>
      </c>
      <c r="M89" s="40">
        <v>34</v>
      </c>
      <c r="N89" s="38" t="s">
        <v>47</v>
      </c>
      <c r="O89" s="37">
        <v>18</v>
      </c>
      <c r="P89" s="37" t="s">
        <v>39</v>
      </c>
      <c r="Q89" s="37">
        <v>29</v>
      </c>
      <c r="R89" s="37">
        <v>33</v>
      </c>
      <c r="S89" s="39">
        <v>28</v>
      </c>
      <c r="T89" s="39">
        <v>7</v>
      </c>
      <c r="U89" s="40">
        <v>4</v>
      </c>
      <c r="V89" s="37">
        <v>26</v>
      </c>
      <c r="W89" s="37">
        <v>14</v>
      </c>
      <c r="X89" s="41">
        <v>3</v>
      </c>
      <c r="Y89" s="37">
        <v>12</v>
      </c>
      <c r="Z89" s="37">
        <v>15</v>
      </c>
      <c r="AA89" s="37">
        <v>8</v>
      </c>
      <c r="AB89" s="40">
        <v>6</v>
      </c>
      <c r="AC89" s="33"/>
      <c r="AD89" s="33"/>
      <c r="AE89" s="33"/>
      <c r="AF89" s="33"/>
      <c r="AG89" s="33"/>
    </row>
    <row r="90" spans="4:33" ht="18" customHeight="1">
      <c r="D90" s="34">
        <v>9</v>
      </c>
      <c r="E90" s="34" t="s">
        <v>50</v>
      </c>
      <c r="F90" s="34">
        <v>8</v>
      </c>
      <c r="G90" s="37">
        <v>22</v>
      </c>
      <c r="H90" s="37">
        <v>32</v>
      </c>
      <c r="I90" s="37">
        <v>9</v>
      </c>
      <c r="J90" s="37">
        <v>20</v>
      </c>
      <c r="K90" s="37">
        <v>17</v>
      </c>
      <c r="L90" s="37">
        <v>11</v>
      </c>
      <c r="M90" s="37">
        <v>34</v>
      </c>
      <c r="N90" s="36">
        <v>33</v>
      </c>
      <c r="O90" s="37">
        <v>25</v>
      </c>
      <c r="P90" s="37" t="s">
        <v>39</v>
      </c>
      <c r="Q90" s="37">
        <v>29</v>
      </c>
      <c r="R90" s="37">
        <v>31</v>
      </c>
      <c r="S90" s="39">
        <v>14</v>
      </c>
      <c r="T90" s="39">
        <v>7</v>
      </c>
      <c r="U90" s="40">
        <v>4</v>
      </c>
      <c r="V90" s="37">
        <v>26</v>
      </c>
      <c r="W90" s="37">
        <v>12</v>
      </c>
      <c r="X90" s="41">
        <v>15</v>
      </c>
      <c r="Y90" s="37">
        <v>5</v>
      </c>
      <c r="Z90" s="37">
        <v>18</v>
      </c>
      <c r="AA90" s="37">
        <v>8</v>
      </c>
      <c r="AB90" s="40">
        <v>36</v>
      </c>
      <c r="AC90" s="33"/>
      <c r="AD90" s="33"/>
      <c r="AE90" s="33"/>
      <c r="AF90" s="33"/>
      <c r="AG90" s="33"/>
    </row>
    <row r="91" spans="4:33" ht="18" customHeight="1">
      <c r="D91" s="34">
        <v>10</v>
      </c>
      <c r="E91" s="34" t="s">
        <v>51</v>
      </c>
      <c r="F91" s="44"/>
      <c r="G91" s="382" t="s">
        <v>52</v>
      </c>
      <c r="H91" s="383"/>
      <c r="I91" s="383"/>
      <c r="J91" s="383"/>
      <c r="K91" s="383"/>
      <c r="L91" s="383"/>
      <c r="M91" s="383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7"/>
      <c r="AB91" s="388"/>
      <c r="AC91" s="33"/>
      <c r="AD91" s="33"/>
      <c r="AE91" s="33"/>
      <c r="AF91" s="33"/>
      <c r="AG91" s="33"/>
    </row>
    <row r="92" spans="4:33" ht="18" customHeight="1">
      <c r="D92" s="34">
        <v>11</v>
      </c>
      <c r="E92" s="34" t="s">
        <v>53</v>
      </c>
      <c r="F92" s="35">
        <v>9</v>
      </c>
      <c r="G92" s="36">
        <v>24</v>
      </c>
      <c r="H92" s="37">
        <v>32</v>
      </c>
      <c r="I92" s="37">
        <v>9</v>
      </c>
      <c r="J92" s="37">
        <v>19</v>
      </c>
      <c r="K92" s="37">
        <v>4</v>
      </c>
      <c r="L92" s="37">
        <v>11</v>
      </c>
      <c r="M92" s="40">
        <v>22</v>
      </c>
      <c r="N92" s="36">
        <v>33</v>
      </c>
      <c r="O92" s="37">
        <v>25</v>
      </c>
      <c r="P92" s="37">
        <v>34</v>
      </c>
      <c r="Q92" s="37">
        <v>29</v>
      </c>
      <c r="R92" s="37">
        <v>31</v>
      </c>
      <c r="S92" s="39">
        <v>14</v>
      </c>
      <c r="T92" s="39" t="s">
        <v>43</v>
      </c>
      <c r="U92" s="40">
        <v>7</v>
      </c>
      <c r="V92" s="37">
        <v>26</v>
      </c>
      <c r="W92" s="37">
        <v>12</v>
      </c>
      <c r="X92" s="41">
        <v>15</v>
      </c>
      <c r="Y92" s="37">
        <v>5</v>
      </c>
      <c r="Z92" s="37">
        <v>18</v>
      </c>
      <c r="AA92" s="37">
        <v>6</v>
      </c>
      <c r="AB92" s="40">
        <v>36</v>
      </c>
      <c r="AC92" s="33"/>
      <c r="AD92" s="33"/>
      <c r="AE92" s="33"/>
      <c r="AF92" s="33"/>
      <c r="AG92" s="33"/>
    </row>
    <row r="93" spans="4:33" ht="18" customHeight="1">
      <c r="D93" s="34">
        <v>12</v>
      </c>
      <c r="E93" s="34" t="s">
        <v>54</v>
      </c>
      <c r="F93" s="35">
        <v>10</v>
      </c>
      <c r="G93" s="36">
        <v>24</v>
      </c>
      <c r="H93" s="37">
        <v>11</v>
      </c>
      <c r="I93" s="37">
        <v>9</v>
      </c>
      <c r="J93" s="37">
        <v>19</v>
      </c>
      <c r="K93" s="37">
        <v>4</v>
      </c>
      <c r="L93" s="37">
        <v>32</v>
      </c>
      <c r="M93" s="40">
        <v>22</v>
      </c>
      <c r="N93" s="36">
        <v>33</v>
      </c>
      <c r="O93" s="37">
        <v>29</v>
      </c>
      <c r="P93" s="37">
        <v>34</v>
      </c>
      <c r="Q93" s="37" t="s">
        <v>49</v>
      </c>
      <c r="R93" s="37">
        <v>26</v>
      </c>
      <c r="S93" s="39">
        <v>14</v>
      </c>
      <c r="T93" s="39" t="s">
        <v>43</v>
      </c>
      <c r="U93" s="40">
        <v>7</v>
      </c>
      <c r="V93" s="37">
        <v>2</v>
      </c>
      <c r="W93" s="37">
        <v>12</v>
      </c>
      <c r="X93" s="41">
        <v>6</v>
      </c>
      <c r="Y93" s="37">
        <v>5</v>
      </c>
      <c r="Z93" s="37">
        <v>18</v>
      </c>
      <c r="AA93" s="37">
        <v>13</v>
      </c>
      <c r="AB93" s="40">
        <v>31</v>
      </c>
      <c r="AC93" s="33"/>
      <c r="AD93" s="33"/>
      <c r="AE93" s="33"/>
      <c r="AF93" s="33"/>
      <c r="AG93" s="33"/>
    </row>
    <row r="94" spans="4:33" ht="18" customHeight="1">
      <c r="D94" s="34">
        <v>13</v>
      </c>
      <c r="E94" s="52" t="s">
        <v>55</v>
      </c>
      <c r="F94" s="53">
        <v>11</v>
      </c>
      <c r="G94" s="37">
        <v>15</v>
      </c>
      <c r="H94" s="37">
        <v>11</v>
      </c>
      <c r="I94" s="37">
        <v>24</v>
      </c>
      <c r="J94" s="37">
        <v>4</v>
      </c>
      <c r="K94" s="37">
        <v>22</v>
      </c>
      <c r="L94" s="37">
        <v>32</v>
      </c>
      <c r="M94" s="40">
        <v>12</v>
      </c>
      <c r="N94" s="79">
        <v>18</v>
      </c>
      <c r="O94" s="47">
        <v>29</v>
      </c>
      <c r="P94" s="47" t="s">
        <v>43</v>
      </c>
      <c r="Q94" s="47" t="s">
        <v>49</v>
      </c>
      <c r="R94" s="47">
        <v>26</v>
      </c>
      <c r="S94" s="48">
        <v>7</v>
      </c>
      <c r="T94" s="48" t="s">
        <v>40</v>
      </c>
      <c r="U94" s="50">
        <v>34</v>
      </c>
      <c r="V94" s="47">
        <v>2</v>
      </c>
      <c r="W94" s="47">
        <v>16</v>
      </c>
      <c r="X94" s="51">
        <v>14</v>
      </c>
      <c r="Y94" s="47">
        <v>19</v>
      </c>
      <c r="Z94" s="47">
        <v>8</v>
      </c>
      <c r="AA94" s="47">
        <v>13</v>
      </c>
      <c r="AB94" s="50">
        <v>31</v>
      </c>
      <c r="AC94" s="33"/>
      <c r="AD94" s="33"/>
      <c r="AE94" s="33"/>
      <c r="AF94" s="33"/>
      <c r="AG94" s="33"/>
    </row>
    <row r="95" spans="4:33" ht="18" customHeight="1" thickBot="1">
      <c r="D95" s="52">
        <v>14</v>
      </c>
      <c r="E95" s="34" t="s">
        <v>56</v>
      </c>
      <c r="F95" s="34">
        <v>12</v>
      </c>
      <c r="G95" s="69">
        <v>15</v>
      </c>
      <c r="H95" s="69">
        <v>11</v>
      </c>
      <c r="I95" s="69">
        <v>24</v>
      </c>
      <c r="J95" s="69">
        <v>4</v>
      </c>
      <c r="K95" s="69">
        <v>22</v>
      </c>
      <c r="L95" s="69">
        <v>32</v>
      </c>
      <c r="M95" s="70">
        <v>12</v>
      </c>
      <c r="N95" s="80">
        <v>18</v>
      </c>
      <c r="O95" s="69">
        <v>29</v>
      </c>
      <c r="P95" s="69" t="s">
        <v>43</v>
      </c>
      <c r="Q95" s="69" t="s">
        <v>49</v>
      </c>
      <c r="R95" s="69">
        <v>26</v>
      </c>
      <c r="S95" s="71">
        <v>7</v>
      </c>
      <c r="T95" s="71" t="s">
        <v>40</v>
      </c>
      <c r="U95" s="70">
        <v>34</v>
      </c>
      <c r="V95" s="69">
        <v>2</v>
      </c>
      <c r="W95" s="69">
        <v>16</v>
      </c>
      <c r="X95" s="72">
        <v>14</v>
      </c>
      <c r="Y95" s="69">
        <v>19</v>
      </c>
      <c r="Z95" s="69">
        <v>8</v>
      </c>
      <c r="AA95" s="69">
        <v>13</v>
      </c>
      <c r="AB95" s="70">
        <v>31</v>
      </c>
      <c r="AC95" s="33"/>
      <c r="AD95" s="33"/>
      <c r="AE95" s="33"/>
      <c r="AF95" s="33"/>
      <c r="AG95" s="33"/>
    </row>
    <row r="96" spans="4:33" ht="18" customHeight="1" thickTop="1" thickBot="1">
      <c r="D96" s="54">
        <v>15</v>
      </c>
      <c r="E96" s="75" t="s">
        <v>57</v>
      </c>
      <c r="F96" s="55"/>
      <c r="G96" s="389" t="s">
        <v>58</v>
      </c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  <c r="AA96" s="391"/>
      <c r="AB96" s="392"/>
      <c r="AC96" s="33"/>
      <c r="AD96" s="33"/>
      <c r="AE96" s="33"/>
      <c r="AF96" s="33"/>
      <c r="AG96" s="33"/>
    </row>
    <row r="97" spans="1:48" ht="18" customHeight="1" thickTop="1">
      <c r="D97" s="56"/>
      <c r="E97" s="56"/>
      <c r="F97" s="56"/>
      <c r="G97" s="81"/>
      <c r="H97" s="81"/>
      <c r="I97" s="81"/>
      <c r="J97" s="81"/>
      <c r="K97" s="81"/>
      <c r="L97" s="81"/>
      <c r="M97" s="81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spans="1:48" ht="18" customHeight="1" thickBot="1">
      <c r="D98" s="56"/>
      <c r="E98" s="56"/>
      <c r="F98" s="56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spans="1:48" ht="18" customHeight="1" thickTop="1" thickBot="1">
      <c r="D99" s="393" t="s">
        <v>2</v>
      </c>
      <c r="E99" s="393" t="s">
        <v>3</v>
      </c>
      <c r="F99" s="395" t="s">
        <v>4</v>
      </c>
      <c r="G99" s="398" t="s">
        <v>83</v>
      </c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400"/>
      <c r="AD99" s="82"/>
      <c r="AE99" s="82"/>
      <c r="AF99" s="82"/>
      <c r="AG99" s="82"/>
    </row>
    <row r="100" spans="1:48" ht="18" customHeight="1" thickTop="1">
      <c r="D100" s="394"/>
      <c r="E100" s="394"/>
      <c r="F100" s="396"/>
      <c r="G100" s="366" t="s">
        <v>6</v>
      </c>
      <c r="H100" s="367"/>
      <c r="I100" s="367"/>
      <c r="J100" s="367"/>
      <c r="K100" s="367"/>
      <c r="L100" s="367"/>
      <c r="M100" s="368"/>
      <c r="N100" s="401" t="s">
        <v>6</v>
      </c>
      <c r="O100" s="401"/>
      <c r="P100" s="401"/>
      <c r="Q100" s="401"/>
      <c r="R100" s="401"/>
      <c r="S100" s="401"/>
      <c r="T100" s="401"/>
      <c r="U100" s="402"/>
      <c r="V100" s="366" t="s">
        <v>6</v>
      </c>
      <c r="W100" s="367"/>
      <c r="X100" s="367"/>
      <c r="Y100" s="367"/>
      <c r="Z100" s="367"/>
      <c r="AA100" s="367"/>
      <c r="AB100" s="368"/>
      <c r="AC100" s="83"/>
      <c r="AD100" s="12"/>
    </row>
    <row r="101" spans="1:48" ht="18" customHeight="1">
      <c r="D101" s="394"/>
      <c r="E101" s="394"/>
      <c r="F101" s="396"/>
      <c r="G101" s="369" t="s">
        <v>7</v>
      </c>
      <c r="H101" s="370"/>
      <c r="I101" s="370"/>
      <c r="J101" s="370"/>
      <c r="K101" s="370"/>
      <c r="L101" s="370"/>
      <c r="M101" s="371"/>
      <c r="N101" s="372" t="s">
        <v>8</v>
      </c>
      <c r="O101" s="372"/>
      <c r="P101" s="372"/>
      <c r="Q101" s="372"/>
      <c r="R101" s="372"/>
      <c r="S101" s="372"/>
      <c r="T101" s="372"/>
      <c r="U101" s="373"/>
      <c r="V101" s="369" t="s">
        <v>9</v>
      </c>
      <c r="W101" s="370"/>
      <c r="X101" s="370"/>
      <c r="Y101" s="370"/>
      <c r="Z101" s="370"/>
      <c r="AA101" s="370"/>
      <c r="AB101" s="371"/>
      <c r="AD101" s="12"/>
      <c r="AE101" s="12"/>
      <c r="AF101" s="12"/>
      <c r="AG101" s="12"/>
    </row>
    <row r="102" spans="1:48" ht="18" customHeight="1" thickBot="1">
      <c r="D102" s="359"/>
      <c r="E102" s="359"/>
      <c r="F102" s="397"/>
      <c r="G102" s="16" t="s">
        <v>10</v>
      </c>
      <c r="H102" s="17" t="s">
        <v>11</v>
      </c>
      <c r="I102" s="17" t="s">
        <v>12</v>
      </c>
      <c r="J102" s="17" t="s">
        <v>13</v>
      </c>
      <c r="K102" s="17" t="s">
        <v>14</v>
      </c>
      <c r="L102" s="18" t="s">
        <v>15</v>
      </c>
      <c r="M102" s="19" t="s">
        <v>16</v>
      </c>
      <c r="N102" s="20" t="s">
        <v>17</v>
      </c>
      <c r="O102" s="21" t="s">
        <v>18</v>
      </c>
      <c r="P102" s="21" t="s">
        <v>19</v>
      </c>
      <c r="Q102" s="21" t="s">
        <v>20</v>
      </c>
      <c r="R102" s="21" t="s">
        <v>21</v>
      </c>
      <c r="S102" s="22" t="s">
        <v>22</v>
      </c>
      <c r="T102" s="22" t="s">
        <v>23</v>
      </c>
      <c r="U102" s="23" t="s">
        <v>24</v>
      </c>
      <c r="V102" s="20" t="s">
        <v>25</v>
      </c>
      <c r="W102" s="21" t="s">
        <v>26</v>
      </c>
      <c r="X102" s="21" t="s">
        <v>27</v>
      </c>
      <c r="Y102" s="21" t="s">
        <v>28</v>
      </c>
      <c r="Z102" s="21" t="s">
        <v>29</v>
      </c>
      <c r="AA102" s="22" t="s">
        <v>30</v>
      </c>
      <c r="AB102" s="23" t="s">
        <v>31</v>
      </c>
    </row>
    <row r="103" spans="1:48" ht="18" customHeight="1" thickTop="1" thickBot="1">
      <c r="D103" s="84">
        <v>0</v>
      </c>
      <c r="E103" s="84" t="s">
        <v>60</v>
      </c>
      <c r="F103" s="84">
        <v>0</v>
      </c>
      <c r="G103" s="374" t="s">
        <v>84</v>
      </c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6"/>
    </row>
    <row r="104" spans="1:48" ht="20.2" customHeight="1" thickTop="1">
      <c r="D104" s="30">
        <v>1</v>
      </c>
      <c r="E104" s="30" t="s">
        <v>85</v>
      </c>
      <c r="F104" s="30">
        <v>1</v>
      </c>
      <c r="G104" s="85">
        <v>24</v>
      </c>
      <c r="H104" s="86">
        <v>21</v>
      </c>
      <c r="I104" s="86" t="s">
        <v>67</v>
      </c>
      <c r="J104" s="86" t="s">
        <v>63</v>
      </c>
      <c r="K104" s="86">
        <v>22</v>
      </c>
      <c r="L104" s="86">
        <v>12</v>
      </c>
      <c r="M104" s="87">
        <v>19</v>
      </c>
      <c r="N104" s="64" t="s">
        <v>40</v>
      </c>
      <c r="O104" s="61">
        <v>27</v>
      </c>
      <c r="P104" s="65">
        <v>36</v>
      </c>
      <c r="Q104" s="65" t="s">
        <v>47</v>
      </c>
      <c r="R104" s="61" t="s">
        <v>49</v>
      </c>
      <c r="S104" s="62">
        <v>25</v>
      </c>
      <c r="T104" s="62">
        <v>17</v>
      </c>
      <c r="U104" s="62">
        <v>9</v>
      </c>
      <c r="V104" s="64">
        <v>16</v>
      </c>
      <c r="W104" s="61">
        <v>8</v>
      </c>
      <c r="X104" s="65" t="s">
        <v>64</v>
      </c>
      <c r="Y104" s="65">
        <v>18</v>
      </c>
      <c r="Z104" s="61" t="s">
        <v>69</v>
      </c>
      <c r="AA104" s="62">
        <v>3</v>
      </c>
      <c r="AB104" s="63">
        <v>15</v>
      </c>
    </row>
    <row r="105" spans="1:48" ht="20.2" customHeight="1">
      <c r="D105" s="34">
        <v>2</v>
      </c>
      <c r="E105" s="34" t="s">
        <v>86</v>
      </c>
      <c r="F105" s="34">
        <v>2</v>
      </c>
      <c r="G105" s="88">
        <v>24</v>
      </c>
      <c r="H105" s="89">
        <v>21</v>
      </c>
      <c r="I105" s="89" t="s">
        <v>67</v>
      </c>
      <c r="J105" s="89" t="s">
        <v>63</v>
      </c>
      <c r="K105" s="89">
        <v>22</v>
      </c>
      <c r="L105" s="89">
        <v>12</v>
      </c>
      <c r="M105" s="90">
        <v>19</v>
      </c>
      <c r="N105" s="36" t="s">
        <v>40</v>
      </c>
      <c r="O105" s="37">
        <v>27</v>
      </c>
      <c r="P105" s="38">
        <v>36</v>
      </c>
      <c r="Q105" s="38" t="s">
        <v>47</v>
      </c>
      <c r="R105" s="37" t="s">
        <v>49</v>
      </c>
      <c r="S105" s="39">
        <v>25</v>
      </c>
      <c r="T105" s="39">
        <v>17</v>
      </c>
      <c r="U105" s="39">
        <v>9</v>
      </c>
      <c r="V105" s="36">
        <v>16</v>
      </c>
      <c r="W105" s="37">
        <v>8</v>
      </c>
      <c r="X105" s="38" t="s">
        <v>64</v>
      </c>
      <c r="Y105" s="38">
        <v>18</v>
      </c>
      <c r="Z105" s="37" t="s">
        <v>69</v>
      </c>
      <c r="AA105" s="39">
        <v>3</v>
      </c>
      <c r="AB105" s="40">
        <v>15</v>
      </c>
    </row>
    <row r="106" spans="1:48" ht="20.2" customHeight="1">
      <c r="D106" s="34">
        <v>3</v>
      </c>
      <c r="E106" s="34" t="s">
        <v>87</v>
      </c>
      <c r="F106" s="44"/>
      <c r="G106" s="377" t="s">
        <v>45</v>
      </c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8"/>
    </row>
    <row r="107" spans="1:48" ht="20.2" customHeight="1">
      <c r="D107" s="34">
        <v>4</v>
      </c>
      <c r="E107" s="358" t="s">
        <v>88</v>
      </c>
      <c r="F107" s="34">
        <v>3</v>
      </c>
      <c r="G107" s="91"/>
      <c r="H107" s="92"/>
      <c r="I107" s="93"/>
      <c r="J107" s="94"/>
      <c r="K107" s="95"/>
      <c r="L107" s="96"/>
      <c r="M107" s="97"/>
      <c r="N107" s="98"/>
      <c r="O107" s="99"/>
      <c r="P107" s="100"/>
      <c r="Q107" s="101"/>
      <c r="R107" s="102"/>
      <c r="S107" s="103"/>
      <c r="T107" s="104"/>
      <c r="U107" s="105"/>
      <c r="V107" s="106"/>
      <c r="W107" s="107"/>
      <c r="X107" s="108"/>
      <c r="Y107" s="109"/>
      <c r="Z107" s="110"/>
      <c r="AA107" s="111"/>
      <c r="AB107" s="112"/>
    </row>
    <row r="108" spans="1:48" ht="20.2" customHeight="1" thickBot="1">
      <c r="D108" s="75">
        <v>5</v>
      </c>
      <c r="E108" s="359"/>
      <c r="F108" s="75">
        <v>4</v>
      </c>
      <c r="G108" s="113"/>
      <c r="H108" s="114"/>
      <c r="I108" s="115"/>
      <c r="J108" s="116"/>
      <c r="K108" s="117"/>
      <c r="L108" s="118"/>
      <c r="M108" s="119"/>
      <c r="N108" s="120"/>
      <c r="O108" s="121"/>
      <c r="P108" s="122"/>
      <c r="Q108" s="123"/>
      <c r="R108" s="124"/>
      <c r="S108" s="125"/>
      <c r="T108" s="126"/>
      <c r="U108" s="127"/>
      <c r="V108" s="128"/>
      <c r="W108" s="129"/>
      <c r="X108" s="130"/>
      <c r="Y108" s="131"/>
      <c r="Z108" s="132"/>
      <c r="AA108" s="133"/>
      <c r="AB108" s="134"/>
    </row>
    <row r="109" spans="1:48" ht="20.2" customHeight="1" thickTop="1">
      <c r="D109" s="56"/>
      <c r="E109" s="56"/>
      <c r="F109" s="56"/>
      <c r="G109" s="77"/>
      <c r="H109" s="77"/>
      <c r="I109" s="77"/>
      <c r="J109" s="77"/>
      <c r="K109" s="77"/>
      <c r="L109" s="77"/>
      <c r="M109" s="7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48" ht="15.1" customHeight="1" thickBot="1">
      <c r="C110" s="135" t="s">
        <v>89</v>
      </c>
    </row>
    <row r="111" spans="1:48" ht="21.8" customHeight="1" thickTop="1" thickBot="1">
      <c r="A111" s="136"/>
      <c r="B111" s="137" t="s">
        <v>2</v>
      </c>
      <c r="C111" s="360" t="s">
        <v>90</v>
      </c>
      <c r="D111" s="361"/>
      <c r="E111" s="361"/>
      <c r="F111" s="361"/>
      <c r="G111" s="362"/>
      <c r="H111" s="139" t="s">
        <v>91</v>
      </c>
      <c r="I111" s="360" t="s">
        <v>92</v>
      </c>
      <c r="J111" s="361"/>
      <c r="K111" s="361"/>
      <c r="L111" s="361"/>
      <c r="M111" s="361"/>
      <c r="N111" s="362"/>
      <c r="O111" s="138" t="s">
        <v>93</v>
      </c>
      <c r="P111" s="140" t="s">
        <v>2</v>
      </c>
      <c r="Q111" s="363" t="s">
        <v>90</v>
      </c>
      <c r="R111" s="364"/>
      <c r="S111" s="364"/>
      <c r="T111" s="364"/>
      <c r="U111" s="364"/>
      <c r="V111" s="365"/>
      <c r="W111" s="141" t="s">
        <v>91</v>
      </c>
      <c r="X111" s="363" t="s">
        <v>92</v>
      </c>
      <c r="Y111" s="364"/>
      <c r="Z111" s="364"/>
      <c r="AA111" s="364"/>
      <c r="AB111" s="364"/>
      <c r="AC111" s="365"/>
      <c r="AD111" s="142" t="s">
        <v>93</v>
      </c>
      <c r="AE111" s="143"/>
      <c r="AF111" s="144"/>
      <c r="AG111" s="145">
        <v>21</v>
      </c>
      <c r="AH111" s="146" t="s">
        <v>94</v>
      </c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8"/>
    </row>
    <row r="112" spans="1:48" ht="17.3" customHeight="1" thickTop="1" thickBot="1">
      <c r="A112" s="149"/>
      <c r="B112" s="150">
        <v>1</v>
      </c>
      <c r="C112" s="151" t="s">
        <v>95</v>
      </c>
      <c r="D112" s="152"/>
      <c r="E112" s="152"/>
      <c r="F112" s="153"/>
      <c r="G112" s="154"/>
      <c r="H112" s="155">
        <v>1</v>
      </c>
      <c r="I112" s="156" t="s">
        <v>96</v>
      </c>
      <c r="J112" s="152"/>
      <c r="K112" s="152"/>
      <c r="L112" s="152"/>
      <c r="M112" s="152"/>
      <c r="N112" s="157"/>
      <c r="O112" s="158">
        <v>21</v>
      </c>
      <c r="P112" s="159">
        <v>22</v>
      </c>
      <c r="Q112" s="160" t="s">
        <v>97</v>
      </c>
      <c r="R112" s="161"/>
      <c r="S112" s="161"/>
      <c r="T112" s="161"/>
      <c r="U112" s="162"/>
      <c r="V112" s="163"/>
      <c r="W112" s="164">
        <v>22</v>
      </c>
      <c r="X112" s="165" t="s">
        <v>98</v>
      </c>
      <c r="Y112" s="166"/>
      <c r="Z112" s="166"/>
      <c r="AA112" s="167"/>
      <c r="AB112" s="167"/>
      <c r="AC112" s="168"/>
      <c r="AD112" s="169">
        <v>28</v>
      </c>
      <c r="AE112" s="170"/>
      <c r="AF112" s="171"/>
      <c r="AG112" s="172" t="s">
        <v>99</v>
      </c>
      <c r="AH112" s="173"/>
      <c r="AI112" s="173"/>
      <c r="AJ112" s="173"/>
      <c r="AK112" s="174"/>
      <c r="AL112" s="173"/>
      <c r="AM112" s="175" t="s">
        <v>100</v>
      </c>
      <c r="AN112" s="173"/>
      <c r="AO112" s="173"/>
      <c r="AP112" s="173"/>
      <c r="AQ112" s="174"/>
      <c r="AR112" s="175" t="s">
        <v>79</v>
      </c>
      <c r="AS112" s="173"/>
      <c r="AT112" s="173"/>
      <c r="AU112" s="173"/>
      <c r="AV112" s="176"/>
    </row>
    <row r="113" spans="1:48" ht="17.3" customHeight="1" thickTop="1" thickBot="1">
      <c r="A113" s="149"/>
      <c r="B113" s="177">
        <v>2</v>
      </c>
      <c r="C113" s="178" t="s">
        <v>101</v>
      </c>
      <c r="D113" s="152"/>
      <c r="E113" s="152"/>
      <c r="F113" s="179"/>
      <c r="G113" s="180"/>
      <c r="H113" s="181">
        <v>2</v>
      </c>
      <c r="I113" s="182" t="s">
        <v>102</v>
      </c>
      <c r="J113" s="183"/>
      <c r="K113" s="183"/>
      <c r="L113" s="183"/>
      <c r="M113" s="183"/>
      <c r="N113" s="184"/>
      <c r="O113" s="185">
        <v>20</v>
      </c>
      <c r="P113" s="186">
        <v>23</v>
      </c>
      <c r="Q113" s="187" t="s">
        <v>103</v>
      </c>
      <c r="R113" s="188"/>
      <c r="S113" s="188"/>
      <c r="T113" s="188"/>
      <c r="U113" s="152"/>
      <c r="V113" s="189"/>
      <c r="W113" s="155">
        <v>23</v>
      </c>
      <c r="X113" s="190" t="s">
        <v>104</v>
      </c>
      <c r="Y113" s="167"/>
      <c r="Z113" s="188"/>
      <c r="AA113" s="188"/>
      <c r="AB113" s="188"/>
      <c r="AC113" s="189"/>
      <c r="AD113" s="191">
        <v>0</v>
      </c>
      <c r="AE113" s="170"/>
      <c r="AF113" s="171"/>
      <c r="AG113" s="192" t="s">
        <v>105</v>
      </c>
      <c r="AH113" s="193"/>
      <c r="AI113" s="193"/>
      <c r="AJ113" s="194"/>
      <c r="AK113" s="194"/>
      <c r="AL113" s="194"/>
      <c r="AM113" s="195" t="s">
        <v>106</v>
      </c>
      <c r="AN113" s="195"/>
      <c r="AO113" s="196"/>
      <c r="AP113" s="196"/>
      <c r="AQ113" s="197"/>
      <c r="AR113" s="195" t="s">
        <v>107</v>
      </c>
      <c r="AS113" s="193"/>
      <c r="AT113" s="194"/>
      <c r="AU113" s="196"/>
      <c r="AV113" s="198"/>
    </row>
    <row r="114" spans="1:48" ht="17.3" customHeight="1" thickTop="1" thickBot="1">
      <c r="A114" s="149"/>
      <c r="B114" s="177">
        <v>3</v>
      </c>
      <c r="C114" s="151" t="s">
        <v>108</v>
      </c>
      <c r="D114" s="183"/>
      <c r="E114" s="183"/>
      <c r="F114" s="153"/>
      <c r="G114" s="154"/>
      <c r="H114" s="155">
        <v>3</v>
      </c>
      <c r="I114" s="156" t="s">
        <v>109</v>
      </c>
      <c r="J114" s="199"/>
      <c r="K114" s="199"/>
      <c r="L114" s="199"/>
      <c r="M114" s="199"/>
      <c r="N114" s="180"/>
      <c r="O114" s="145">
        <v>14</v>
      </c>
      <c r="P114" s="200"/>
      <c r="Q114" s="201"/>
      <c r="R114" s="202"/>
      <c r="S114" s="202"/>
      <c r="T114" s="202"/>
      <c r="U114" s="203"/>
      <c r="V114" s="204"/>
      <c r="W114" s="205" t="s">
        <v>47</v>
      </c>
      <c r="X114" s="190" t="s">
        <v>110</v>
      </c>
      <c r="Y114" s="166"/>
      <c r="Z114" s="166"/>
      <c r="AA114" s="167"/>
      <c r="AB114" s="167"/>
      <c r="AC114" s="168"/>
      <c r="AD114" s="169">
        <v>28</v>
      </c>
      <c r="AE114" s="170"/>
      <c r="AF114" s="171"/>
      <c r="AG114" s="206" t="s">
        <v>111</v>
      </c>
      <c r="AH114" s="207"/>
      <c r="AI114" s="207"/>
      <c r="AJ114" s="208"/>
      <c r="AK114" s="208"/>
      <c r="AL114" s="208"/>
      <c r="AM114" s="209" t="s">
        <v>112</v>
      </c>
      <c r="AN114" s="209"/>
      <c r="AO114" s="210"/>
      <c r="AP114" s="210"/>
      <c r="AQ114" s="211"/>
      <c r="AR114" s="212" t="s">
        <v>113</v>
      </c>
      <c r="AS114" s="207"/>
      <c r="AT114" s="208"/>
      <c r="AU114" s="210"/>
      <c r="AV114" s="213"/>
    </row>
    <row r="115" spans="1:48" ht="17.3" customHeight="1" thickTop="1">
      <c r="A115" s="149"/>
      <c r="B115" s="214">
        <v>4</v>
      </c>
      <c r="C115" s="215" t="s">
        <v>114</v>
      </c>
      <c r="D115" s="188"/>
      <c r="E115" s="188"/>
      <c r="F115" s="179"/>
      <c r="G115" s="216"/>
      <c r="H115" s="217">
        <v>4</v>
      </c>
      <c r="I115" s="218" t="s">
        <v>115</v>
      </c>
      <c r="J115" s="167"/>
      <c r="K115" s="167"/>
      <c r="L115" s="167"/>
      <c r="M115" s="167"/>
      <c r="N115" s="154"/>
      <c r="O115" s="158">
        <v>19</v>
      </c>
      <c r="P115" s="219">
        <v>24</v>
      </c>
      <c r="Q115" s="187" t="s">
        <v>116</v>
      </c>
      <c r="R115" s="161"/>
      <c r="S115" s="161"/>
      <c r="T115" s="161"/>
      <c r="U115" s="162"/>
      <c r="V115" s="163"/>
      <c r="W115" s="205">
        <v>24</v>
      </c>
      <c r="X115" s="220" t="s">
        <v>117</v>
      </c>
      <c r="Y115" s="166"/>
      <c r="Z115" s="166"/>
      <c r="AA115" s="167"/>
      <c r="AB115" s="167"/>
      <c r="AC115" s="168"/>
      <c r="AD115" s="169">
        <v>28</v>
      </c>
      <c r="AE115" s="170"/>
      <c r="AF115" s="171"/>
      <c r="AG115" s="206" t="s">
        <v>118</v>
      </c>
      <c r="AH115" s="207"/>
      <c r="AI115" s="207"/>
      <c r="AJ115" s="208"/>
      <c r="AK115" s="208"/>
      <c r="AL115" s="208"/>
      <c r="AM115" s="209" t="s">
        <v>119</v>
      </c>
      <c r="AN115" s="209"/>
      <c r="AO115" s="210"/>
      <c r="AP115" s="210"/>
      <c r="AQ115" s="211"/>
      <c r="AR115" s="209" t="s">
        <v>120</v>
      </c>
      <c r="AS115" s="221"/>
      <c r="AT115" s="208"/>
      <c r="AU115" s="210"/>
      <c r="AV115" s="213"/>
    </row>
    <row r="116" spans="1:48" ht="17.3" customHeight="1">
      <c r="A116" s="149"/>
      <c r="B116" s="214">
        <v>5</v>
      </c>
      <c r="C116" s="151" t="s">
        <v>121</v>
      </c>
      <c r="D116" s="183"/>
      <c r="E116" s="183"/>
      <c r="F116" s="153"/>
      <c r="G116" s="154"/>
      <c r="H116" s="181">
        <v>5</v>
      </c>
      <c r="I116" s="182" t="s">
        <v>122</v>
      </c>
      <c r="J116" s="183"/>
      <c r="K116" s="183"/>
      <c r="L116" s="183"/>
      <c r="M116" s="183"/>
      <c r="N116" s="184"/>
      <c r="O116" s="185">
        <v>28</v>
      </c>
      <c r="P116" s="219">
        <v>25</v>
      </c>
      <c r="Q116" s="178" t="s">
        <v>123</v>
      </c>
      <c r="R116" s="188"/>
      <c r="S116" s="188"/>
      <c r="T116" s="188"/>
      <c r="U116" s="152"/>
      <c r="V116" s="189"/>
      <c r="W116" s="155">
        <v>25</v>
      </c>
      <c r="X116" s="156" t="s">
        <v>124</v>
      </c>
      <c r="Y116" s="167"/>
      <c r="Z116" s="188"/>
      <c r="AA116" s="188"/>
      <c r="AB116" s="188"/>
      <c r="AC116" s="189"/>
      <c r="AD116" s="191">
        <v>16</v>
      </c>
      <c r="AE116" s="170"/>
      <c r="AF116" s="171"/>
      <c r="AG116" s="206" t="s">
        <v>125</v>
      </c>
      <c r="AH116" s="207"/>
      <c r="AI116" s="207"/>
      <c r="AJ116" s="208"/>
      <c r="AK116" s="208"/>
      <c r="AL116" s="208"/>
      <c r="AM116" s="209" t="s">
        <v>126</v>
      </c>
      <c r="AN116" s="209"/>
      <c r="AO116" s="210"/>
      <c r="AP116" s="210"/>
      <c r="AQ116" s="211"/>
      <c r="AR116" s="209" t="s">
        <v>127</v>
      </c>
      <c r="AS116" s="207"/>
      <c r="AT116" s="208"/>
      <c r="AU116" s="210"/>
      <c r="AV116" s="213"/>
    </row>
    <row r="117" spans="1:48" ht="17.3" customHeight="1">
      <c r="A117" s="149"/>
      <c r="B117" s="222">
        <v>6</v>
      </c>
      <c r="C117" s="178" t="s">
        <v>128</v>
      </c>
      <c r="D117" s="223"/>
      <c r="E117" s="223"/>
      <c r="F117" s="179"/>
      <c r="G117" s="180"/>
      <c r="H117" s="155">
        <v>6</v>
      </c>
      <c r="I117" s="156" t="s">
        <v>129</v>
      </c>
      <c r="J117" s="224"/>
      <c r="K117" s="224"/>
      <c r="L117" s="224"/>
      <c r="M117" s="224"/>
      <c r="N117" s="225"/>
      <c r="O117" s="226">
        <v>16</v>
      </c>
      <c r="P117" s="222">
        <v>26</v>
      </c>
      <c r="Q117" s="187" t="s">
        <v>130</v>
      </c>
      <c r="R117" s="227"/>
      <c r="S117" s="227"/>
      <c r="T117" s="227"/>
      <c r="U117" s="152"/>
      <c r="V117" s="189"/>
      <c r="W117" s="205">
        <v>26</v>
      </c>
      <c r="X117" s="190" t="s">
        <v>131</v>
      </c>
      <c r="Y117" s="167"/>
      <c r="Z117" s="167"/>
      <c r="AA117" s="167"/>
      <c r="AB117" s="167"/>
      <c r="AC117" s="168"/>
      <c r="AD117" s="191">
        <v>30</v>
      </c>
      <c r="AE117" s="170"/>
      <c r="AF117" s="171"/>
      <c r="AG117" s="206" t="s">
        <v>132</v>
      </c>
      <c r="AH117" s="207"/>
      <c r="AI117" s="207"/>
      <c r="AJ117" s="208"/>
      <c r="AK117" s="208"/>
      <c r="AL117" s="208"/>
      <c r="AM117" s="209" t="s">
        <v>133</v>
      </c>
      <c r="AN117" s="209"/>
      <c r="AO117" s="210"/>
      <c r="AP117" s="210"/>
      <c r="AQ117" s="211"/>
      <c r="AR117" s="207" t="s">
        <v>134</v>
      </c>
      <c r="AS117" s="207"/>
      <c r="AT117" s="208"/>
      <c r="AU117" s="210"/>
      <c r="AV117" s="213"/>
    </row>
    <row r="118" spans="1:48" ht="17.3" customHeight="1">
      <c r="A118" s="149"/>
      <c r="B118" s="214"/>
      <c r="C118" s="228"/>
      <c r="D118" s="229"/>
      <c r="E118" s="229"/>
      <c r="F118" s="230"/>
      <c r="G118" s="216"/>
      <c r="H118" s="155" t="s">
        <v>40</v>
      </c>
      <c r="I118" s="156" t="s">
        <v>135</v>
      </c>
      <c r="J118" s="224"/>
      <c r="K118" s="224"/>
      <c r="L118" s="224"/>
      <c r="M118" s="224"/>
      <c r="N118" s="225"/>
      <c r="O118" s="226">
        <v>16</v>
      </c>
      <c r="P118" s="231">
        <v>27</v>
      </c>
      <c r="Q118" s="187" t="s">
        <v>136</v>
      </c>
      <c r="R118" s="161"/>
      <c r="S118" s="161"/>
      <c r="T118" s="161"/>
      <c r="U118" s="152"/>
      <c r="V118" s="189"/>
      <c r="W118" s="181">
        <v>27</v>
      </c>
      <c r="X118" s="182" t="s">
        <v>137</v>
      </c>
      <c r="Y118" s="188"/>
      <c r="Z118" s="188"/>
      <c r="AA118" s="188"/>
      <c r="AB118" s="188"/>
      <c r="AC118" s="189"/>
      <c r="AD118" s="191">
        <v>16</v>
      </c>
      <c r="AE118" s="170"/>
      <c r="AF118" s="171"/>
      <c r="AG118" s="206" t="s">
        <v>138</v>
      </c>
      <c r="AH118" s="207"/>
      <c r="AI118" s="207"/>
      <c r="AJ118" s="208"/>
      <c r="AK118" s="208"/>
      <c r="AL118" s="208"/>
      <c r="AM118" s="209" t="s">
        <v>139</v>
      </c>
      <c r="AN118" s="209"/>
      <c r="AO118" s="210"/>
      <c r="AP118" s="210"/>
      <c r="AQ118" s="211"/>
      <c r="AR118" s="232" t="s">
        <v>140</v>
      </c>
      <c r="AS118" s="207"/>
      <c r="AT118" s="208"/>
      <c r="AU118" s="210"/>
      <c r="AV118" s="213"/>
    </row>
    <row r="119" spans="1:48" ht="17.3" customHeight="1">
      <c r="A119" s="149"/>
      <c r="B119" s="177">
        <v>7</v>
      </c>
      <c r="C119" s="151" t="s">
        <v>141</v>
      </c>
      <c r="D119" s="183"/>
      <c r="E119" s="183"/>
      <c r="F119" s="153"/>
      <c r="G119" s="154"/>
      <c r="H119" s="155">
        <v>7</v>
      </c>
      <c r="I119" s="156" t="s">
        <v>142</v>
      </c>
      <c r="J119" s="183"/>
      <c r="K119" s="183"/>
      <c r="L119" s="183"/>
      <c r="M119" s="183"/>
      <c r="N119" s="225"/>
      <c r="O119" s="226">
        <v>32</v>
      </c>
      <c r="P119" s="222">
        <v>28</v>
      </c>
      <c r="Q119" s="187" t="s">
        <v>143</v>
      </c>
      <c r="R119" s="161"/>
      <c r="S119" s="161"/>
      <c r="T119" s="161"/>
      <c r="U119" s="152"/>
      <c r="V119" s="189"/>
      <c r="W119" s="205">
        <v>28</v>
      </c>
      <c r="X119" s="190" t="s">
        <v>144</v>
      </c>
      <c r="Y119" s="167"/>
      <c r="Z119" s="167"/>
      <c r="AA119" s="167"/>
      <c r="AB119" s="167"/>
      <c r="AC119" s="168"/>
      <c r="AD119" s="233">
        <v>15</v>
      </c>
      <c r="AE119" s="170"/>
      <c r="AF119" s="171"/>
      <c r="AG119" s="234" t="s">
        <v>145</v>
      </c>
      <c r="AH119" s="235"/>
      <c r="AI119" s="235"/>
      <c r="AJ119" s="235"/>
      <c r="AK119" s="235"/>
      <c r="AL119" s="235"/>
      <c r="AM119" s="235"/>
      <c r="AN119" s="235"/>
      <c r="AO119" s="235"/>
      <c r="AP119" s="235"/>
      <c r="AQ119" s="235"/>
      <c r="AR119" s="235"/>
      <c r="AS119" s="235"/>
      <c r="AT119" s="235"/>
      <c r="AU119" s="235"/>
      <c r="AV119" s="236"/>
    </row>
    <row r="120" spans="1:48" ht="17.3" customHeight="1" thickBot="1">
      <c r="A120" s="149"/>
      <c r="B120" s="214">
        <v>8</v>
      </c>
      <c r="C120" s="151" t="s">
        <v>146</v>
      </c>
      <c r="D120" s="223"/>
      <c r="E120" s="223"/>
      <c r="F120" s="153"/>
      <c r="G120" s="154"/>
      <c r="H120" s="155">
        <v>8</v>
      </c>
      <c r="I120" s="156" t="s">
        <v>147</v>
      </c>
      <c r="J120" s="199"/>
      <c r="K120" s="199"/>
      <c r="L120" s="199"/>
      <c r="M120" s="199"/>
      <c r="N120" s="154"/>
      <c r="O120" s="158">
        <v>14</v>
      </c>
      <c r="P120" s="237"/>
      <c r="Q120" s="238"/>
      <c r="R120" s="239"/>
      <c r="S120" s="239"/>
      <c r="T120" s="239"/>
      <c r="U120" s="240"/>
      <c r="V120" s="241"/>
      <c r="W120" s="205" t="s">
        <v>43</v>
      </c>
      <c r="X120" s="190" t="s">
        <v>148</v>
      </c>
      <c r="Y120" s="167"/>
      <c r="Z120" s="167"/>
      <c r="AA120" s="167"/>
      <c r="AB120" s="167"/>
      <c r="AC120" s="168"/>
      <c r="AD120" s="233">
        <v>15</v>
      </c>
      <c r="AE120" s="170"/>
      <c r="AF120" s="242"/>
      <c r="AG120" s="243" t="s">
        <v>149</v>
      </c>
      <c r="AH120" s="244"/>
      <c r="AI120" s="244"/>
      <c r="AJ120" s="244"/>
      <c r="AK120" s="244"/>
      <c r="AL120" s="244"/>
      <c r="AM120" s="244"/>
      <c r="AN120" s="244"/>
      <c r="AO120" s="244"/>
      <c r="AP120" s="244"/>
      <c r="AQ120" s="244"/>
      <c r="AR120" s="244"/>
      <c r="AS120" s="244"/>
      <c r="AT120" s="244"/>
      <c r="AU120" s="244"/>
      <c r="AV120" s="245"/>
    </row>
    <row r="121" spans="1:48" ht="17.3" customHeight="1" thickTop="1">
      <c r="A121" s="149"/>
      <c r="B121" s="246">
        <v>9</v>
      </c>
      <c r="C121" s="247" t="s">
        <v>150</v>
      </c>
      <c r="D121" s="248"/>
      <c r="E121" s="167"/>
      <c r="F121" s="153"/>
      <c r="G121" s="154"/>
      <c r="H121" s="155">
        <v>9</v>
      </c>
      <c r="I121" s="156" t="s">
        <v>151</v>
      </c>
      <c r="J121" s="167"/>
      <c r="K121" s="167"/>
      <c r="L121" s="167"/>
      <c r="M121" s="167"/>
      <c r="N121" s="154"/>
      <c r="O121" s="158">
        <v>26</v>
      </c>
      <c r="P121" s="200"/>
      <c r="Q121" s="201"/>
      <c r="R121" s="202"/>
      <c r="S121" s="202"/>
      <c r="T121" s="202"/>
      <c r="U121" s="229"/>
      <c r="V121" s="249"/>
      <c r="W121" s="181" t="s">
        <v>63</v>
      </c>
      <c r="X121" s="182" t="s">
        <v>152</v>
      </c>
      <c r="Y121" s="188"/>
      <c r="Z121" s="188"/>
      <c r="AA121" s="188"/>
      <c r="AB121" s="188"/>
      <c r="AC121" s="189"/>
      <c r="AD121" s="191">
        <v>8</v>
      </c>
      <c r="AE121" s="170"/>
      <c r="AF121" s="242"/>
    </row>
    <row r="122" spans="1:48" ht="17.3" customHeight="1">
      <c r="A122" s="149"/>
      <c r="B122" s="222">
        <v>10</v>
      </c>
      <c r="C122" s="228" t="s">
        <v>153</v>
      </c>
      <c r="D122" s="240"/>
      <c r="E122" s="240"/>
      <c r="F122" s="250"/>
      <c r="G122" s="216"/>
      <c r="H122" s="217">
        <v>10</v>
      </c>
      <c r="I122" s="218" t="s">
        <v>154</v>
      </c>
      <c r="J122" s="240"/>
      <c r="K122" s="240"/>
      <c r="L122" s="240"/>
      <c r="M122" s="240"/>
      <c r="N122" s="216"/>
      <c r="O122" s="251">
        <v>18</v>
      </c>
      <c r="P122" s="252">
        <v>29</v>
      </c>
      <c r="Q122" s="187" t="s">
        <v>155</v>
      </c>
      <c r="R122" s="227"/>
      <c r="S122" s="227"/>
      <c r="T122" s="227"/>
      <c r="U122" s="152"/>
      <c r="V122" s="189"/>
      <c r="W122" s="205">
        <v>29</v>
      </c>
      <c r="X122" s="190" t="s">
        <v>156</v>
      </c>
      <c r="Y122" s="167"/>
      <c r="Z122" s="167"/>
      <c r="AA122" s="167"/>
      <c r="AB122" s="167"/>
      <c r="AC122" s="168"/>
      <c r="AD122" s="191">
        <v>15</v>
      </c>
      <c r="AE122" s="170"/>
      <c r="AF122" s="242"/>
    </row>
    <row r="123" spans="1:48" ht="17.3" customHeight="1">
      <c r="A123" s="149"/>
      <c r="B123" s="177">
        <v>11</v>
      </c>
      <c r="C123" s="253" t="s">
        <v>157</v>
      </c>
      <c r="D123" s="199"/>
      <c r="E123" s="199"/>
      <c r="F123" s="254"/>
      <c r="G123" s="154"/>
      <c r="H123" s="155">
        <v>11</v>
      </c>
      <c r="I123" s="156" t="s">
        <v>158</v>
      </c>
      <c r="J123" s="199"/>
      <c r="K123" s="199"/>
      <c r="L123" s="199"/>
      <c r="M123" s="199"/>
      <c r="N123" s="154"/>
      <c r="O123" s="158">
        <v>36</v>
      </c>
      <c r="P123" s="214"/>
      <c r="Q123" s="201"/>
      <c r="R123" s="202"/>
      <c r="S123" s="202"/>
      <c r="T123" s="202"/>
      <c r="U123" s="229"/>
      <c r="V123" s="249"/>
      <c r="W123" s="205" t="s">
        <v>67</v>
      </c>
      <c r="X123" s="190" t="s">
        <v>159</v>
      </c>
      <c r="Y123" s="167"/>
      <c r="Z123" s="167"/>
      <c r="AA123" s="167"/>
      <c r="AB123" s="167"/>
      <c r="AC123" s="168"/>
      <c r="AD123" s="233">
        <v>6</v>
      </c>
      <c r="AE123" s="170"/>
      <c r="AF123" s="242"/>
    </row>
    <row r="124" spans="1:48" ht="17.3" customHeight="1">
      <c r="A124" s="149"/>
      <c r="B124" s="222">
        <v>12</v>
      </c>
      <c r="C124" s="228" t="s">
        <v>160</v>
      </c>
      <c r="D124" s="240"/>
      <c r="E124" s="240"/>
      <c r="F124" s="250"/>
      <c r="G124" s="216"/>
      <c r="H124" s="217">
        <v>12</v>
      </c>
      <c r="I124" s="218" t="s">
        <v>161</v>
      </c>
      <c r="J124" s="240"/>
      <c r="K124" s="240"/>
      <c r="L124" s="240"/>
      <c r="M124" s="240"/>
      <c r="N124" s="216"/>
      <c r="O124" s="251">
        <v>29</v>
      </c>
      <c r="P124" s="255">
        <v>30</v>
      </c>
      <c r="Q124" s="238" t="s">
        <v>162</v>
      </c>
      <c r="R124" s="239"/>
      <c r="S124" s="239"/>
      <c r="T124" s="239"/>
      <c r="U124" s="256"/>
      <c r="V124" s="257"/>
      <c r="W124" s="205">
        <v>30</v>
      </c>
      <c r="X124" s="190" t="s">
        <v>163</v>
      </c>
      <c r="Y124" s="199"/>
      <c r="Z124" s="199"/>
      <c r="AA124" s="199"/>
      <c r="AB124" s="199"/>
      <c r="AC124" s="168"/>
      <c r="AD124" s="233">
        <v>16</v>
      </c>
      <c r="AE124" s="170"/>
      <c r="AF124" s="242"/>
    </row>
    <row r="125" spans="1:48" ht="17.3" customHeight="1">
      <c r="A125" s="149"/>
      <c r="B125" s="222">
        <v>13</v>
      </c>
      <c r="C125" s="178" t="s">
        <v>164</v>
      </c>
      <c r="D125" s="188"/>
      <c r="E125" s="188"/>
      <c r="F125" s="179"/>
      <c r="G125" s="180"/>
      <c r="H125" s="155">
        <v>13</v>
      </c>
      <c r="I125" s="156" t="s">
        <v>165</v>
      </c>
      <c r="J125" s="167"/>
      <c r="K125" s="167"/>
      <c r="L125" s="167"/>
      <c r="M125" s="167"/>
      <c r="N125" s="154"/>
      <c r="O125" s="158">
        <v>21</v>
      </c>
      <c r="P125" s="255">
        <v>31</v>
      </c>
      <c r="Q125" s="187" t="s">
        <v>166</v>
      </c>
      <c r="R125" s="161"/>
      <c r="S125" s="161"/>
      <c r="T125" s="161"/>
      <c r="U125" s="258"/>
      <c r="V125" s="259"/>
      <c r="W125" s="205">
        <v>31</v>
      </c>
      <c r="X125" s="224" t="s">
        <v>167</v>
      </c>
      <c r="Y125" s="167"/>
      <c r="Z125" s="167"/>
      <c r="AA125" s="167"/>
      <c r="AB125" s="167"/>
      <c r="AC125" s="168"/>
      <c r="AD125" s="233">
        <v>35</v>
      </c>
      <c r="AE125" s="170"/>
      <c r="AF125" s="242"/>
    </row>
    <row r="126" spans="1:48" ht="17.3" customHeight="1">
      <c r="A126" s="149"/>
      <c r="B126" s="214"/>
      <c r="C126" s="228"/>
      <c r="D126" s="260"/>
      <c r="E126" s="260"/>
      <c r="F126" s="230"/>
      <c r="G126" s="216"/>
      <c r="H126" s="155" t="s">
        <v>39</v>
      </c>
      <c r="I126" s="183" t="s">
        <v>168</v>
      </c>
      <c r="J126" s="199"/>
      <c r="K126" s="199"/>
      <c r="L126" s="199"/>
      <c r="M126" s="199"/>
      <c r="N126" s="154"/>
      <c r="O126" s="158">
        <v>15</v>
      </c>
      <c r="P126" s="261">
        <v>32</v>
      </c>
      <c r="Q126" s="262" t="s">
        <v>169</v>
      </c>
      <c r="R126" s="263"/>
      <c r="S126" s="263"/>
      <c r="T126" s="263"/>
      <c r="U126" s="183"/>
      <c r="V126" s="168"/>
      <c r="W126" s="155">
        <v>32</v>
      </c>
      <c r="X126" s="156" t="s">
        <v>170</v>
      </c>
      <c r="Y126" s="199"/>
      <c r="Z126" s="199"/>
      <c r="AA126" s="199"/>
      <c r="AB126" s="199"/>
      <c r="AC126" s="168"/>
      <c r="AD126" s="233">
        <v>24</v>
      </c>
      <c r="AE126" s="170"/>
      <c r="AF126" s="242"/>
    </row>
    <row r="127" spans="1:48" ht="17.3" customHeight="1">
      <c r="A127" s="149"/>
      <c r="B127" s="246">
        <v>14</v>
      </c>
      <c r="C127" s="178" t="s">
        <v>171</v>
      </c>
      <c r="D127" s="188"/>
      <c r="E127" s="188"/>
      <c r="F127" s="179"/>
      <c r="G127" s="154"/>
      <c r="H127" s="155">
        <v>14</v>
      </c>
      <c r="I127" s="156" t="s">
        <v>172</v>
      </c>
      <c r="J127" s="167"/>
      <c r="K127" s="167"/>
      <c r="L127" s="167"/>
      <c r="M127" s="167"/>
      <c r="N127" s="216"/>
      <c r="O127" s="251">
        <v>25</v>
      </c>
      <c r="P127" s="252"/>
      <c r="Q127" s="264"/>
      <c r="R127" s="265"/>
      <c r="S127" s="265"/>
      <c r="T127" s="265"/>
      <c r="U127" s="240"/>
      <c r="V127" s="241"/>
      <c r="W127" s="164" t="s">
        <v>69</v>
      </c>
      <c r="X127" s="240" t="s">
        <v>173</v>
      </c>
      <c r="Y127" s="260"/>
      <c r="Z127" s="260"/>
      <c r="AA127" s="260"/>
      <c r="AB127" s="260"/>
      <c r="AC127" s="241"/>
      <c r="AD127" s="266">
        <v>10</v>
      </c>
      <c r="AE127" s="170"/>
      <c r="AF127" s="242"/>
    </row>
    <row r="128" spans="1:48" ht="17.3" customHeight="1">
      <c r="A128" s="149"/>
      <c r="B128" s="222">
        <v>15</v>
      </c>
      <c r="C128" s="178" t="s">
        <v>174</v>
      </c>
      <c r="D128" s="188"/>
      <c r="E128" s="188"/>
      <c r="F128" s="179"/>
      <c r="G128" s="180"/>
      <c r="H128" s="155">
        <v>15</v>
      </c>
      <c r="I128" s="156" t="s">
        <v>175</v>
      </c>
      <c r="J128" s="167"/>
      <c r="K128" s="167"/>
      <c r="L128" s="167"/>
      <c r="M128" s="167"/>
      <c r="N128" s="216"/>
      <c r="O128" s="251">
        <v>28</v>
      </c>
      <c r="P128" s="252">
        <v>33</v>
      </c>
      <c r="Q128" s="267" t="s">
        <v>176</v>
      </c>
      <c r="R128" s="227"/>
      <c r="S128" s="227"/>
      <c r="T128" s="227"/>
      <c r="U128" s="152"/>
      <c r="V128" s="189"/>
      <c r="W128" s="181">
        <v>33</v>
      </c>
      <c r="X128" s="182" t="s">
        <v>177</v>
      </c>
      <c r="Y128" s="223"/>
      <c r="Z128" s="223"/>
      <c r="AA128" s="223"/>
      <c r="AB128" s="223"/>
      <c r="AC128" s="189"/>
      <c r="AD128" s="268">
        <v>21</v>
      </c>
      <c r="AE128" s="170"/>
      <c r="AF128" s="242"/>
    </row>
    <row r="129" spans="1:32" ht="17.3" customHeight="1">
      <c r="A129" s="149"/>
      <c r="B129" s="177">
        <v>16</v>
      </c>
      <c r="C129" s="187" t="s">
        <v>178</v>
      </c>
      <c r="D129" s="188"/>
      <c r="E129" s="188"/>
      <c r="F129" s="254"/>
      <c r="G129" s="225"/>
      <c r="H129" s="205">
        <v>16</v>
      </c>
      <c r="I129" s="269" t="s">
        <v>179</v>
      </c>
      <c r="J129" s="167"/>
      <c r="K129" s="167"/>
      <c r="L129" s="167"/>
      <c r="M129" s="167"/>
      <c r="N129" s="225"/>
      <c r="O129" s="226">
        <v>30</v>
      </c>
      <c r="P129" s="261"/>
      <c r="Q129" s="201"/>
      <c r="R129" s="202"/>
      <c r="S129" s="202"/>
      <c r="T129" s="202"/>
      <c r="U129" s="270"/>
      <c r="V129" s="271"/>
      <c r="W129" s="205" t="s">
        <v>64</v>
      </c>
      <c r="X129" s="240" t="s">
        <v>180</v>
      </c>
      <c r="Y129" s="167"/>
      <c r="Z129" s="167"/>
      <c r="AA129" s="167"/>
      <c r="AB129" s="167"/>
      <c r="AC129" s="168"/>
      <c r="AD129" s="233">
        <v>20</v>
      </c>
      <c r="AE129" s="170"/>
      <c r="AF129" s="242"/>
    </row>
    <row r="130" spans="1:32" ht="17.3" customHeight="1">
      <c r="A130" s="149"/>
      <c r="B130" s="214">
        <v>17</v>
      </c>
      <c r="C130" s="151" t="s">
        <v>181</v>
      </c>
      <c r="D130" s="161"/>
      <c r="E130" s="161"/>
      <c r="F130" s="153"/>
      <c r="G130" s="154"/>
      <c r="H130" s="155">
        <v>17</v>
      </c>
      <c r="I130" s="156" t="s">
        <v>182</v>
      </c>
      <c r="J130" s="167"/>
      <c r="K130" s="167"/>
      <c r="L130" s="167"/>
      <c r="M130" s="167"/>
      <c r="N130" s="154"/>
      <c r="O130" s="158">
        <v>25</v>
      </c>
      <c r="P130" s="261">
        <v>34</v>
      </c>
      <c r="Q130" s="201" t="s">
        <v>183</v>
      </c>
      <c r="R130" s="272"/>
      <c r="S130" s="272"/>
      <c r="T130" s="272"/>
      <c r="U130" s="273"/>
      <c r="V130" s="274"/>
      <c r="W130" s="205">
        <v>34</v>
      </c>
      <c r="X130" s="224" t="s">
        <v>184</v>
      </c>
      <c r="Y130" s="199"/>
      <c r="Z130" s="199"/>
      <c r="AA130" s="199"/>
      <c r="AB130" s="199"/>
      <c r="AC130" s="168"/>
      <c r="AD130" s="233">
        <v>36</v>
      </c>
      <c r="AE130" s="170"/>
      <c r="AF130" s="242"/>
    </row>
    <row r="131" spans="1:32" ht="17.3" customHeight="1">
      <c r="A131" s="149"/>
      <c r="B131" s="214">
        <v>18</v>
      </c>
      <c r="C131" s="187" t="s">
        <v>185</v>
      </c>
      <c r="D131" s="275"/>
      <c r="E131" s="152"/>
      <c r="F131" s="179"/>
      <c r="G131" s="184"/>
      <c r="H131" s="205">
        <v>18</v>
      </c>
      <c r="I131" s="224" t="s">
        <v>186</v>
      </c>
      <c r="J131" s="167"/>
      <c r="K131" s="167"/>
      <c r="L131" s="167"/>
      <c r="M131" s="167"/>
      <c r="N131" s="154"/>
      <c r="O131" s="158">
        <v>30</v>
      </c>
      <c r="P131" s="252">
        <v>35</v>
      </c>
      <c r="Q131" s="267" t="s">
        <v>187</v>
      </c>
      <c r="R131" s="227"/>
      <c r="S131" s="227"/>
      <c r="T131" s="227"/>
      <c r="U131" s="152"/>
      <c r="V131" s="189"/>
      <c r="W131" s="155">
        <v>35</v>
      </c>
      <c r="X131" s="156" t="s">
        <v>188</v>
      </c>
      <c r="Y131" s="199"/>
      <c r="Z131" s="199"/>
      <c r="AA131" s="199"/>
      <c r="AB131" s="199"/>
      <c r="AC131" s="168"/>
      <c r="AD131" s="233">
        <v>6</v>
      </c>
      <c r="AE131" s="276"/>
      <c r="AF131" s="240"/>
    </row>
    <row r="132" spans="1:32" ht="17.3" customHeight="1">
      <c r="A132" s="277"/>
      <c r="B132" s="214">
        <v>19</v>
      </c>
      <c r="C132" s="253" t="s">
        <v>189</v>
      </c>
      <c r="D132" s="278"/>
      <c r="E132" s="183"/>
      <c r="F132" s="153"/>
      <c r="G132" s="225"/>
      <c r="H132" s="205">
        <v>19</v>
      </c>
      <c r="I132" s="224" t="s">
        <v>190</v>
      </c>
      <c r="J132" s="167"/>
      <c r="K132" s="167"/>
      <c r="L132" s="167"/>
      <c r="M132" s="167"/>
      <c r="N132" s="154"/>
      <c r="O132" s="158">
        <v>28</v>
      </c>
      <c r="P132" s="261"/>
      <c r="Q132" s="279"/>
      <c r="R132" s="280"/>
      <c r="S132" s="280"/>
      <c r="T132" s="280"/>
      <c r="U132" s="229"/>
      <c r="V132" s="249"/>
      <c r="W132" s="164" t="s">
        <v>49</v>
      </c>
      <c r="X132" s="281" t="s">
        <v>191</v>
      </c>
      <c r="Y132" s="260"/>
      <c r="Z132" s="260"/>
      <c r="AA132" s="260"/>
      <c r="AB132" s="260"/>
      <c r="AC132" s="241"/>
      <c r="AD132" s="266">
        <v>20</v>
      </c>
      <c r="AE132" s="276"/>
      <c r="AF132" s="240"/>
    </row>
    <row r="133" spans="1:32" ht="17.3" customHeight="1" thickBot="1">
      <c r="A133" s="282"/>
      <c r="B133" s="237">
        <v>20</v>
      </c>
      <c r="C133" s="187" t="s">
        <v>192</v>
      </c>
      <c r="D133" s="275"/>
      <c r="E133" s="152"/>
      <c r="F133" s="179"/>
      <c r="G133" s="184"/>
      <c r="H133" s="205">
        <v>20</v>
      </c>
      <c r="I133" s="190" t="s">
        <v>193</v>
      </c>
      <c r="J133" s="188"/>
      <c r="K133" s="188"/>
      <c r="L133" s="188"/>
      <c r="M133" s="188"/>
      <c r="N133" s="180"/>
      <c r="O133" s="145">
        <v>14</v>
      </c>
      <c r="P133" s="283">
        <v>36</v>
      </c>
      <c r="Q133" s="284" t="s">
        <v>194</v>
      </c>
      <c r="R133" s="285"/>
      <c r="S133" s="285"/>
      <c r="T133" s="285"/>
      <c r="U133" s="286"/>
      <c r="V133" s="287"/>
      <c r="W133" s="288">
        <v>36</v>
      </c>
      <c r="X133" s="289" t="s">
        <v>195</v>
      </c>
      <c r="Y133" s="290"/>
      <c r="Z133" s="290"/>
      <c r="AA133" s="290"/>
      <c r="AB133" s="290"/>
      <c r="AC133" s="287"/>
      <c r="AD133" s="291">
        <v>28</v>
      </c>
      <c r="AE133" s="11"/>
      <c r="AF133" s="12"/>
    </row>
    <row r="134" spans="1:32" ht="17.3" customHeight="1" thickTop="1" thickBot="1">
      <c r="A134" s="282"/>
      <c r="B134" s="292">
        <v>21</v>
      </c>
      <c r="C134" s="293" t="s">
        <v>196</v>
      </c>
      <c r="D134" s="293"/>
      <c r="E134" s="286"/>
      <c r="F134" s="294"/>
      <c r="G134" s="295"/>
      <c r="H134" s="296">
        <v>21</v>
      </c>
      <c r="I134" s="297" t="s">
        <v>197</v>
      </c>
      <c r="J134" s="298"/>
      <c r="K134" s="298"/>
      <c r="L134" s="298"/>
      <c r="M134" s="298"/>
      <c r="N134" s="299"/>
      <c r="O134" s="300">
        <v>21</v>
      </c>
      <c r="P134" s="301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12"/>
      <c r="AF134" s="12"/>
    </row>
    <row r="135" spans="1:32" ht="17.3" customHeight="1" thickTop="1">
      <c r="A135" s="303"/>
      <c r="B135" s="303"/>
      <c r="C135" s="304"/>
      <c r="D135" s="304"/>
      <c r="E135" s="240"/>
      <c r="F135" s="171"/>
      <c r="G135" s="242"/>
      <c r="H135" s="242"/>
      <c r="I135" s="305"/>
      <c r="N135" s="171"/>
      <c r="O135" s="171"/>
      <c r="P135" s="306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7.3" customHeight="1">
      <c r="A136" s="303"/>
      <c r="B136" s="303"/>
      <c r="C136" s="307"/>
      <c r="D136" s="304" t="s">
        <v>198</v>
      </c>
      <c r="E136" s="240"/>
      <c r="F136" s="171"/>
      <c r="G136" s="242"/>
      <c r="H136" s="171"/>
      <c r="I136" s="305"/>
      <c r="N136" s="171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308"/>
    </row>
    <row r="137" spans="1:32" ht="17.3" customHeight="1">
      <c r="A137" s="303"/>
      <c r="B137" s="303"/>
      <c r="C137" s="304"/>
      <c r="D137" s="309"/>
      <c r="E137" s="240"/>
      <c r="F137" s="171"/>
      <c r="G137" s="242"/>
      <c r="H137" s="171"/>
      <c r="I137" s="165"/>
      <c r="J137" s="310"/>
      <c r="N137" s="171"/>
      <c r="O137" s="311"/>
      <c r="P137" s="311"/>
      <c r="Q137" s="312"/>
      <c r="R137" s="313"/>
      <c r="S137" s="313"/>
      <c r="T137" s="313"/>
      <c r="U137" s="311"/>
      <c r="V137" s="311"/>
      <c r="W137" s="308"/>
      <c r="X137" s="308"/>
      <c r="Y137" s="314"/>
      <c r="Z137" s="311"/>
      <c r="AA137" s="311"/>
      <c r="AB137" s="313"/>
      <c r="AC137" s="308"/>
      <c r="AE137" s="308"/>
    </row>
    <row r="138" spans="1:32" ht="17.3" customHeight="1">
      <c r="A138" s="303"/>
      <c r="B138" s="303"/>
      <c r="C138" s="307"/>
      <c r="D138" s="315"/>
      <c r="E138" s="240"/>
      <c r="F138" s="171"/>
      <c r="G138" s="242"/>
      <c r="H138" s="171"/>
      <c r="I138" s="305"/>
      <c r="J138" s="316"/>
      <c r="N138" s="171"/>
      <c r="O138" s="311"/>
      <c r="P138" s="311"/>
      <c r="Q138" s="317"/>
      <c r="R138" s="313"/>
      <c r="S138" s="313"/>
      <c r="T138" s="313"/>
      <c r="U138" s="311"/>
      <c r="V138" s="311"/>
      <c r="W138" s="308"/>
      <c r="X138" s="308"/>
      <c r="Y138" s="314"/>
      <c r="Z138" s="318"/>
      <c r="AA138" s="311"/>
      <c r="AB138" s="313"/>
      <c r="AC138" s="308"/>
      <c r="AE138" s="308"/>
    </row>
    <row r="139" spans="1:32" ht="17.3" customHeight="1">
      <c r="A139" s="171"/>
      <c r="B139" s="171"/>
      <c r="C139" s="307"/>
      <c r="D139" s="319"/>
      <c r="E139" s="239"/>
      <c r="F139" s="239"/>
      <c r="G139" s="240"/>
      <c r="H139" s="171"/>
      <c r="I139" s="320"/>
      <c r="J139" s="321"/>
      <c r="N139" s="171"/>
      <c r="O139" s="311"/>
      <c r="P139" s="311"/>
      <c r="Q139" s="322"/>
      <c r="R139" s="313"/>
      <c r="S139" s="313"/>
      <c r="T139" s="313"/>
      <c r="U139" s="311"/>
      <c r="V139" s="311"/>
      <c r="W139" s="308"/>
      <c r="X139" s="308"/>
      <c r="Y139" s="314"/>
      <c r="Z139" s="311"/>
      <c r="AA139" s="323"/>
      <c r="AB139" s="313"/>
      <c r="AC139" s="308"/>
      <c r="AE139" s="308"/>
    </row>
    <row r="140" spans="1:32" ht="17.3" customHeight="1">
      <c r="A140" s="171"/>
      <c r="B140" s="171"/>
      <c r="C140" s="307"/>
      <c r="D140" s="324"/>
      <c r="E140" s="239"/>
      <c r="F140" s="239"/>
      <c r="G140" s="240"/>
      <c r="H140" s="171"/>
      <c r="I140" s="320"/>
      <c r="J140" s="325"/>
      <c r="N140" s="171"/>
      <c r="O140" s="311"/>
      <c r="P140" s="311"/>
      <c r="Q140" s="326"/>
      <c r="R140" s="313"/>
      <c r="S140" s="313"/>
      <c r="T140" s="313"/>
      <c r="U140" s="311"/>
      <c r="V140" s="311"/>
      <c r="W140" s="308"/>
      <c r="X140" s="308"/>
      <c r="Y140" s="314"/>
      <c r="Z140" s="311"/>
      <c r="AA140" s="311"/>
      <c r="AB140" s="313"/>
      <c r="AC140" s="308"/>
      <c r="AE140" s="308"/>
    </row>
    <row r="141" spans="1:32" ht="15.8" customHeight="1">
      <c r="A141" s="171"/>
      <c r="B141" s="171"/>
      <c r="C141" s="304"/>
      <c r="D141" s="327"/>
      <c r="E141" s="240"/>
      <c r="F141" s="171"/>
      <c r="G141" s="242"/>
      <c r="H141" s="171"/>
      <c r="I141" s="165"/>
      <c r="J141" s="328"/>
      <c r="N141" s="171"/>
      <c r="O141" s="311"/>
      <c r="P141" s="311"/>
      <c r="Q141" s="329"/>
      <c r="R141" s="313"/>
      <c r="S141" s="313"/>
      <c r="T141" s="313"/>
      <c r="U141" s="311"/>
      <c r="V141" s="311"/>
      <c r="W141" s="308"/>
      <c r="X141" s="308"/>
      <c r="Y141" s="314"/>
      <c r="Z141" s="311"/>
      <c r="AA141" s="311"/>
      <c r="AB141" s="313"/>
      <c r="AC141" s="308"/>
      <c r="AE141" s="308"/>
    </row>
    <row r="142" spans="1:32" ht="20.2" customHeight="1">
      <c r="A142" s="171"/>
      <c r="B142" s="171"/>
      <c r="C142" s="304"/>
      <c r="D142" s="330"/>
      <c r="E142" s="240"/>
      <c r="F142" s="171"/>
      <c r="G142" s="242"/>
      <c r="H142" s="171"/>
      <c r="I142" s="165"/>
      <c r="J142" s="331"/>
      <c r="N142" s="171"/>
      <c r="O142" s="311"/>
      <c r="P142" s="311"/>
      <c r="Q142" s="332"/>
      <c r="R142" s="313"/>
      <c r="S142" s="313"/>
      <c r="T142" s="313"/>
      <c r="U142" s="311"/>
      <c r="V142" s="311"/>
      <c r="W142" s="308"/>
      <c r="X142" s="308"/>
      <c r="Y142" s="314"/>
      <c r="Z142" s="318"/>
      <c r="AA142" s="311"/>
      <c r="AB142" s="313"/>
      <c r="AC142" s="308"/>
      <c r="AE142" s="333"/>
      <c r="AF142" s="333"/>
    </row>
    <row r="143" spans="1:32" ht="20.2" customHeight="1">
      <c r="A143" s="171"/>
      <c r="B143" s="171"/>
      <c r="C143" s="307"/>
      <c r="D143" s="334"/>
      <c r="E143" s="240"/>
      <c r="F143" s="171"/>
      <c r="G143" s="242"/>
      <c r="H143" s="171"/>
      <c r="I143" s="305"/>
      <c r="J143" s="335"/>
      <c r="N143" s="171"/>
      <c r="O143" s="333"/>
      <c r="P143" s="333"/>
      <c r="Q143" s="336"/>
      <c r="R143" s="333"/>
      <c r="S143" s="333"/>
      <c r="T143" s="333"/>
      <c r="U143" s="333"/>
      <c r="V143" s="333"/>
      <c r="W143" s="333"/>
      <c r="X143" s="333"/>
      <c r="Y143" s="333"/>
      <c r="Z143" s="333"/>
      <c r="AA143" s="333"/>
      <c r="AB143" s="333"/>
      <c r="AC143" s="333"/>
      <c r="AD143" s="333"/>
      <c r="AE143" s="337"/>
      <c r="AF143" s="337"/>
    </row>
    <row r="144" spans="1:32" ht="15.8" customHeight="1">
      <c r="A144" s="171"/>
      <c r="B144" s="171"/>
      <c r="C144" s="307"/>
      <c r="D144" s="338"/>
      <c r="E144" s="239"/>
      <c r="F144" s="239"/>
      <c r="G144" s="240"/>
      <c r="H144" s="171"/>
      <c r="I144" s="320"/>
      <c r="J144" s="339"/>
      <c r="N144" s="171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  <c r="AB144" s="337"/>
      <c r="AC144" s="337"/>
      <c r="AD144" s="337"/>
      <c r="AE144" s="337"/>
      <c r="AF144" s="337"/>
    </row>
    <row r="145" spans="1:30" ht="15.8" customHeight="1">
      <c r="A145" s="242"/>
      <c r="B145" s="307"/>
      <c r="C145" s="340"/>
      <c r="D145" s="240"/>
      <c r="E145" s="171"/>
      <c r="F145" s="242"/>
      <c r="G145" s="305"/>
      <c r="H145" s="240"/>
      <c r="N145" s="171"/>
      <c r="O145" s="17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</row>
    <row r="146" spans="1:30" ht="15.8" customHeight="1">
      <c r="C146" s="240"/>
      <c r="D146" s="342"/>
      <c r="E146" s="342"/>
      <c r="F146" s="343" t="s">
        <v>199</v>
      </c>
      <c r="G146" s="344"/>
      <c r="H146" s="240"/>
      <c r="I146" s="345"/>
      <c r="O146" s="346"/>
      <c r="P146" s="347"/>
      <c r="Q146" s="347"/>
      <c r="R146" s="240"/>
      <c r="S146" s="240"/>
      <c r="T146" s="240"/>
      <c r="U146" s="240"/>
      <c r="V146" s="343" t="s">
        <v>200</v>
      </c>
      <c r="W146" s="348"/>
      <c r="X146" s="348"/>
      <c r="Y146" s="348"/>
    </row>
    <row r="147" spans="1:30" ht="15.8" customHeight="1">
      <c r="C147" s="239"/>
      <c r="D147" s="349"/>
      <c r="E147" s="338"/>
      <c r="F147" s="350" t="s">
        <v>201</v>
      </c>
      <c r="G147" s="351"/>
      <c r="H147" s="256"/>
      <c r="I147" s="260"/>
      <c r="O147" s="346"/>
      <c r="P147" s="352"/>
      <c r="Q147" s="352"/>
      <c r="R147" s="240"/>
      <c r="S147" s="240"/>
      <c r="T147" s="240"/>
      <c r="U147" s="240"/>
      <c r="V147" s="350" t="s">
        <v>202</v>
      </c>
      <c r="W147" s="348"/>
      <c r="X147" s="348"/>
      <c r="Y147" s="348"/>
    </row>
    <row r="148" spans="1:30" ht="15.8" customHeight="1">
      <c r="C148" s="239"/>
      <c r="D148" s="349"/>
      <c r="E148" s="338"/>
      <c r="F148" s="343"/>
      <c r="G148" s="351"/>
      <c r="H148" s="240"/>
      <c r="I148" s="260"/>
      <c r="O148" s="346"/>
      <c r="P148" s="135"/>
      <c r="Q148" s="135"/>
      <c r="R148" s="240"/>
      <c r="S148" s="240"/>
      <c r="T148" s="240"/>
      <c r="U148" s="240"/>
      <c r="V148" s="343"/>
      <c r="W148" s="348"/>
      <c r="X148" s="348"/>
      <c r="Y148" s="348"/>
    </row>
    <row r="149" spans="1:30" ht="15.8" customHeight="1">
      <c r="F149" s="343"/>
      <c r="G149" s="351"/>
      <c r="H149" s="240"/>
      <c r="O149" s="346"/>
      <c r="P149" s="135"/>
      <c r="Q149" s="135"/>
      <c r="R149" s="240"/>
      <c r="S149" s="240"/>
      <c r="T149" s="240"/>
      <c r="U149" s="240"/>
      <c r="V149" s="343"/>
      <c r="W149" s="348"/>
      <c r="X149" s="348"/>
      <c r="Y149" s="348"/>
    </row>
    <row r="150" spans="1:30" ht="15.8" customHeight="1">
      <c r="C150" s="239"/>
      <c r="D150" s="349"/>
      <c r="E150" s="239"/>
      <c r="F150" s="353" t="s">
        <v>203</v>
      </c>
      <c r="G150" s="351"/>
      <c r="H150" s="354"/>
      <c r="I150" s="355"/>
      <c r="O150" s="239"/>
      <c r="P150" s="352"/>
      <c r="Q150" s="352"/>
      <c r="R150" s="240"/>
      <c r="S150" s="240"/>
      <c r="T150" s="240"/>
      <c r="U150" s="240"/>
      <c r="V150" s="353" t="s">
        <v>204</v>
      </c>
      <c r="W150" s="348"/>
      <c r="X150" s="348"/>
      <c r="Y150" s="348"/>
    </row>
    <row r="151" spans="1:30" ht="15.8" customHeight="1">
      <c r="C151" s="356"/>
      <c r="D151" s="311"/>
      <c r="E151" s="357"/>
      <c r="F151" s="350" t="s">
        <v>205</v>
      </c>
      <c r="G151" s="351"/>
      <c r="H151" s="341"/>
      <c r="I151" s="357"/>
      <c r="O151" s="356"/>
      <c r="P151" s="135"/>
      <c r="Q151" s="135"/>
      <c r="R151" s="240"/>
      <c r="S151" s="240"/>
      <c r="T151" s="240"/>
      <c r="U151" s="240"/>
      <c r="V151" s="350" t="s">
        <v>206</v>
      </c>
      <c r="W151" s="348"/>
      <c r="X151" s="348"/>
      <c r="Y151" s="348"/>
    </row>
    <row r="152" spans="1:30" ht="15.8" customHeight="1">
      <c r="C152" s="341"/>
      <c r="D152" s="357"/>
      <c r="E152" s="357"/>
      <c r="F152" s="357"/>
      <c r="G152" s="356"/>
      <c r="H152" s="341"/>
      <c r="I152" s="357"/>
      <c r="O152" s="356"/>
      <c r="P152" s="135"/>
      <c r="Q152" s="135"/>
      <c r="R152" s="240"/>
      <c r="S152" s="240"/>
      <c r="T152" s="240"/>
      <c r="U152" s="240"/>
      <c r="V152" s="240"/>
    </row>
    <row r="153" spans="1:30" ht="15.8" customHeight="1">
      <c r="C153" s="356"/>
      <c r="D153" s="311"/>
      <c r="E153" s="357"/>
      <c r="F153" s="357"/>
      <c r="G153" s="356"/>
      <c r="H153" s="341"/>
      <c r="I153" s="357"/>
      <c r="O153" s="356"/>
      <c r="P153" s="135"/>
      <c r="Q153" s="135"/>
      <c r="R153" s="240"/>
      <c r="S153" s="240"/>
      <c r="T153" s="240"/>
      <c r="U153" s="240"/>
      <c r="V153" s="240"/>
    </row>
    <row r="154" spans="1:30" ht="15.8" customHeight="1">
      <c r="C154" s="341"/>
      <c r="D154" s="341"/>
      <c r="E154" s="357"/>
      <c r="F154" s="357"/>
      <c r="G154" s="356"/>
      <c r="H154" s="341"/>
      <c r="I154" s="357"/>
      <c r="O154" s="356"/>
      <c r="P154" s="135"/>
      <c r="Q154" s="135"/>
      <c r="R154" s="240"/>
      <c r="S154" s="240"/>
      <c r="T154" s="240"/>
      <c r="U154" s="240"/>
      <c r="V154" s="240"/>
    </row>
    <row r="155" spans="1:30" ht="15.8" customHeight="1">
      <c r="C155" s="356"/>
      <c r="D155" s="311"/>
      <c r="E155" s="357"/>
      <c r="F155" s="357"/>
      <c r="G155" s="356"/>
      <c r="H155" s="341"/>
      <c r="I155" s="357"/>
      <c r="O155" s="356"/>
      <c r="P155" s="347"/>
      <c r="Q155" s="347"/>
      <c r="R155" s="240"/>
      <c r="S155" s="240"/>
      <c r="T155" s="240"/>
      <c r="U155" s="240"/>
      <c r="V155" s="240"/>
    </row>
    <row r="156" spans="1:30" ht="15.8" customHeight="1">
      <c r="C156" s="341"/>
      <c r="D156" s="341"/>
      <c r="E156" s="357"/>
      <c r="F156" s="357"/>
      <c r="G156" s="356"/>
      <c r="H156" s="341"/>
      <c r="I156" s="357"/>
      <c r="O156" s="356"/>
      <c r="P156" s="352"/>
      <c r="Q156" s="352"/>
    </row>
    <row r="157" spans="1:30" ht="15.8" customHeight="1">
      <c r="C157" s="356"/>
      <c r="D157" s="311"/>
      <c r="E157" s="357"/>
      <c r="F157" s="357"/>
      <c r="G157" s="356"/>
      <c r="H157" s="341"/>
      <c r="I157" s="357"/>
      <c r="O157" s="356"/>
    </row>
    <row r="158" spans="1:30" ht="15.8" customHeight="1">
      <c r="C158" s="341"/>
      <c r="D158" s="341"/>
      <c r="E158" s="357"/>
      <c r="F158" s="357"/>
      <c r="G158" s="356"/>
      <c r="H158" s="341"/>
      <c r="I158" s="357"/>
      <c r="O158" s="356"/>
    </row>
    <row r="159" spans="1:30" ht="15.8" customHeight="1">
      <c r="C159" s="356"/>
      <c r="D159" s="311"/>
      <c r="G159" s="356"/>
      <c r="H159" s="341"/>
      <c r="O159" s="356"/>
    </row>
    <row r="160" spans="1:30" ht="15.8" customHeight="1">
      <c r="G160" s="356"/>
      <c r="H160" s="341"/>
      <c r="O160" s="356"/>
    </row>
  </sheetData>
  <mergeCells count="79">
    <mergeCell ref="G15:AB15"/>
    <mergeCell ref="B2:AD2"/>
    <mergeCell ref="B3:AD3"/>
    <mergeCell ref="D5:D8"/>
    <mergeCell ref="E5:E8"/>
    <mergeCell ref="F5:F8"/>
    <mergeCell ref="G5:AB5"/>
    <mergeCell ref="G6:M6"/>
    <mergeCell ref="N6:U6"/>
    <mergeCell ref="V6:AB6"/>
    <mergeCell ref="G7:M7"/>
    <mergeCell ref="N7:U7"/>
    <mergeCell ref="V7:AB7"/>
    <mergeCell ref="G9:AB9"/>
    <mergeCell ref="G10:AB10"/>
    <mergeCell ref="G11:AB11"/>
    <mergeCell ref="G45:AB45"/>
    <mergeCell ref="G19:AB19"/>
    <mergeCell ref="G24:AB24"/>
    <mergeCell ref="D28:D31"/>
    <mergeCell ref="E28:E31"/>
    <mergeCell ref="F28:F31"/>
    <mergeCell ref="G28:AB28"/>
    <mergeCell ref="G29:M29"/>
    <mergeCell ref="N29:U29"/>
    <mergeCell ref="V29:AB29"/>
    <mergeCell ref="G30:M30"/>
    <mergeCell ref="N30:U30"/>
    <mergeCell ref="V30:AB30"/>
    <mergeCell ref="G32:AB32"/>
    <mergeCell ref="G37:AB37"/>
    <mergeCell ref="G41:AB41"/>
    <mergeCell ref="D50:D53"/>
    <mergeCell ref="E50:E53"/>
    <mergeCell ref="F50:F53"/>
    <mergeCell ref="G50:AB50"/>
    <mergeCell ref="G51:M51"/>
    <mergeCell ref="N51:U51"/>
    <mergeCell ref="V51:AB51"/>
    <mergeCell ref="G52:M52"/>
    <mergeCell ref="N52:U52"/>
    <mergeCell ref="V52:AB52"/>
    <mergeCell ref="D77:D80"/>
    <mergeCell ref="E77:E80"/>
    <mergeCell ref="F77:F80"/>
    <mergeCell ref="G77:AB77"/>
    <mergeCell ref="G78:M78"/>
    <mergeCell ref="N78:U78"/>
    <mergeCell ref="G82:AB82"/>
    <mergeCell ref="G54:AB54"/>
    <mergeCell ref="G59:AB59"/>
    <mergeCell ref="G63:AB63"/>
    <mergeCell ref="G67:AB67"/>
    <mergeCell ref="V78:AB78"/>
    <mergeCell ref="G79:M79"/>
    <mergeCell ref="N79:U79"/>
    <mergeCell ref="V79:AB79"/>
    <mergeCell ref="G81:AB81"/>
    <mergeCell ref="D99:D102"/>
    <mergeCell ref="E99:E102"/>
    <mergeCell ref="F99:F102"/>
    <mergeCell ref="G99:AB99"/>
    <mergeCell ref="G100:M100"/>
    <mergeCell ref="N100:U100"/>
    <mergeCell ref="G106:AB106"/>
    <mergeCell ref="G83:AB83"/>
    <mergeCell ref="G87:AB87"/>
    <mergeCell ref="G91:AB91"/>
    <mergeCell ref="G96:AB96"/>
    <mergeCell ref="V100:AB100"/>
    <mergeCell ref="G101:M101"/>
    <mergeCell ref="N101:U101"/>
    <mergeCell ref="V101:AB101"/>
    <mergeCell ref="G103:AB103"/>
    <mergeCell ref="E107:E108"/>
    <mergeCell ref="C111:G111"/>
    <mergeCell ref="I111:N111"/>
    <mergeCell ref="Q111:V111"/>
    <mergeCell ref="X111:AC111"/>
  </mergeCells>
  <pageMargins left="0.28000000000000003" right="0.17" top="0.27777777777777779" bottom="0.52" header="0.3" footer="0.16"/>
  <pageSetup paperSize="5" scale="65" orientation="portrait" horizontalDpi="4294967292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LAMP 1 GANJIL 26 rii;</vt:lpstr>
      <vt:lpstr>JADWAL GANJIL 26 riill</vt:lpstr>
      <vt:lpstr>'JADWAL GANJIL 26 riill'!Print_Area</vt:lpstr>
      <vt:lpstr>'LAMP 1 GANJIL 26 rii;'!Print_Area</vt:lpstr>
      <vt:lpstr>'LAMP 1 GANJIL 26 rii;'!Print_Titles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darno sudarno</dc:creator>
  <cp:lastModifiedBy>darno sudarno</cp:lastModifiedBy>
  <dcterms:created xsi:type="dcterms:W3CDTF">2026-07-17T15:00:35Z</dcterms:created>
  <dcterms:modified xsi:type="dcterms:W3CDTF">2026-07-18T11:50:49Z</dcterms:modified>
</cp:coreProperties>
</file>